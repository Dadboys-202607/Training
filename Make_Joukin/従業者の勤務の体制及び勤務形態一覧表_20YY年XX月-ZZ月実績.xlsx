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g5ve\OneDrive\Desktop\SW\Make_Joukin\"/>
    </mc:Choice>
  </mc:AlternateContent>
  <xr:revisionPtr revIDLastSave="0" documentId="8_{058122F4-967D-4065-9724-5936EBE39DE8}" xr6:coauthVersionLast="47" xr6:coauthVersionMax="47" xr10:uidLastSave="{00000000-0000-0000-0000-000000000000}"/>
  <bookViews>
    <workbookView xWindow="-110" yWindow="-110" windowWidth="19420" windowHeight="10300" tabRatio="671" xr2:uid="{D81D4260-FAB2-40E9-A78C-3A5283AA63A1}"/>
  </bookViews>
  <sheets>
    <sheet name="勤務形態一覧表（訪問看護） 2026.01実績(サンプル)" sheetId="19" r:id="rId1"/>
  </sheets>
  <definedNames>
    <definedName name="_xlnm.Print_Area" localSheetId="0">'勤務形態一覧表（訪問看護） 2026.01実績(サンプル)'!$A$1:$AM$39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4" i="19" l="1"/>
  <c r="AK24" i="19"/>
  <c r="AJ19" i="19"/>
  <c r="AK19" i="19"/>
  <c r="AL19" i="19"/>
  <c r="AJ20" i="19"/>
  <c r="AK20" i="19"/>
  <c r="AL20" i="19"/>
  <c r="AJ21" i="19"/>
  <c r="AK21" i="19"/>
  <c r="AL21" i="19"/>
  <c r="AJ25" i="19"/>
  <c r="AK25" i="19"/>
  <c r="AJ23" i="19"/>
  <c r="AJ22" i="19"/>
  <c r="AK22" i="19"/>
  <c r="AJ15" i="19"/>
  <c r="AK15" i="19"/>
  <c r="AL15" i="19"/>
  <c r="AJ13" i="19"/>
  <c r="AK13" i="19"/>
  <c r="AL13" i="19"/>
  <c r="AJ14" i="19"/>
  <c r="AK14" i="19"/>
  <c r="AL14" i="19"/>
  <c r="AJ16" i="19"/>
  <c r="AJ17" i="19"/>
  <c r="AK17" i="19"/>
  <c r="AL17" i="19"/>
  <c r="AJ18" i="19"/>
  <c r="AJ12" i="19"/>
  <c r="AK12" i="19"/>
  <c r="AL12" i="19"/>
  <c r="AJ11" i="19"/>
  <c r="AK11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AA10" i="19"/>
  <c r="AB10" i="19"/>
  <c r="AC10" i="19"/>
  <c r="AD10" i="19"/>
  <c r="AE10" i="19"/>
  <c r="AF10" i="19"/>
  <c r="AG10" i="19"/>
  <c r="AH10" i="19"/>
  <c r="AI10" i="19"/>
  <c r="E10" i="19"/>
  <c r="AK23" i="19"/>
  <c r="AK18" i="19"/>
  <c r="AL18" i="19"/>
  <c r="AK16" i="19"/>
  <c r="AL16" i="19"/>
  <c r="AL26" i="19"/>
</calcChain>
</file>

<file path=xl/sharedStrings.xml><?xml version="1.0" encoding="utf-8"?>
<sst xmlns="http://schemas.openxmlformats.org/spreadsheetml/2006/main" count="239" uniqueCount="97">
  <si>
    <t>　従業者の勤務の体制及び勤務形態一覧表</t>
    <phoneticPr fontId="2"/>
  </si>
  <si>
    <t>サービス種類</t>
    <phoneticPr fontId="2"/>
  </si>
  <si>
    <t>（</t>
    <phoneticPr fontId="2"/>
  </si>
  <si>
    <t>訪問看護・介護予防訪問看護</t>
    <rPh sb="0" eb="2">
      <t>ホウモン</t>
    </rPh>
    <rPh sb="2" eb="4">
      <t>カンゴ</t>
    </rPh>
    <rPh sb="5" eb="7">
      <t>カイゴ</t>
    </rPh>
    <rPh sb="7" eb="9">
      <t>ヨボウ</t>
    </rPh>
    <rPh sb="9" eb="11">
      <t>ホウモン</t>
    </rPh>
    <rPh sb="11" eb="13">
      <t>カンゴ</t>
    </rPh>
    <phoneticPr fontId="2"/>
  </si>
  <si>
    <t>）</t>
    <phoneticPr fontId="2"/>
  </si>
  <si>
    <t>事業所名</t>
    <phoneticPr fontId="2"/>
  </si>
  <si>
    <t>営業日：</t>
    <rPh sb="0" eb="3">
      <t>エイギョウビ</t>
    </rPh>
    <phoneticPr fontId="2"/>
  </si>
  <si>
    <t>月</t>
    <rPh sb="0" eb="1">
      <t>ツキ</t>
    </rPh>
    <phoneticPr fontId="2"/>
  </si>
  <si>
    <t>火</t>
    <rPh sb="0" eb="1">
      <t>ヒ</t>
    </rPh>
    <phoneticPr fontId="2"/>
  </si>
  <si>
    <t>水</t>
    <rPh sb="0" eb="1">
      <t>スイ</t>
    </rPh>
    <phoneticPr fontId="2"/>
  </si>
  <si>
    <t>木</t>
    <rPh sb="0" eb="1">
      <t>キ</t>
    </rPh>
    <phoneticPr fontId="2"/>
  </si>
  <si>
    <t>金</t>
    <rPh sb="0" eb="1">
      <t>キン</t>
    </rPh>
    <phoneticPr fontId="2"/>
  </si>
  <si>
    <t>土</t>
    <rPh sb="0" eb="1">
      <t>ツチ</t>
    </rPh>
    <phoneticPr fontId="2"/>
  </si>
  <si>
    <t>営業時間</t>
    <rPh sb="0" eb="2">
      <t>エイギョウ</t>
    </rPh>
    <rPh sb="2" eb="4">
      <t>ジカン</t>
    </rPh>
    <phoneticPr fontId="2"/>
  </si>
  <si>
    <t>：</t>
    <phoneticPr fontId="2"/>
  </si>
  <si>
    <t>～</t>
    <phoneticPr fontId="2"/>
  </si>
  <si>
    <t>訪問看護：</t>
    <rPh sb="0" eb="2">
      <t>ホウモン</t>
    </rPh>
    <rPh sb="2" eb="4">
      <t>カンゴ</t>
    </rPh>
    <phoneticPr fontId="2"/>
  </si>
  <si>
    <t xml:space="preserve">緊急時訪問看護加算 </t>
    <rPh sb="0" eb="3">
      <t>キンキュウジ</t>
    </rPh>
    <rPh sb="3" eb="5">
      <t>ホウモン</t>
    </rPh>
    <rPh sb="5" eb="7">
      <t>カンゴ</t>
    </rPh>
    <rPh sb="7" eb="9">
      <t>カサン</t>
    </rPh>
    <phoneticPr fontId="2"/>
  </si>
  <si>
    <t>特別管理加算　　</t>
    <rPh sb="0" eb="2">
      <t>トクベツ</t>
    </rPh>
    <rPh sb="2" eb="4">
      <t>カンリ</t>
    </rPh>
    <rPh sb="4" eb="6">
      <t>カサン</t>
    </rPh>
    <phoneticPr fontId="2"/>
  </si>
  <si>
    <t>介護予防訪問看護：</t>
    <rPh sb="0" eb="2">
      <t>カイゴ</t>
    </rPh>
    <rPh sb="2" eb="4">
      <t>ヨボウ</t>
    </rPh>
    <rPh sb="4" eb="6">
      <t>ホウモン</t>
    </rPh>
    <rPh sb="6" eb="8">
      <t>カンゴ</t>
    </rPh>
    <phoneticPr fontId="2"/>
  </si>
  <si>
    <t>緊急時介護予防訪問看護加算 　</t>
    <rPh sb="0" eb="3">
      <t>キンキュウジ</t>
    </rPh>
    <rPh sb="3" eb="5">
      <t>カイゴ</t>
    </rPh>
    <rPh sb="5" eb="7">
      <t>ヨボウ</t>
    </rPh>
    <rPh sb="7" eb="9">
      <t>ホウモン</t>
    </rPh>
    <rPh sb="9" eb="11">
      <t>カンゴ</t>
    </rPh>
    <rPh sb="11" eb="13">
      <t>カサン</t>
    </rPh>
    <phoneticPr fontId="2"/>
  </si>
  <si>
    <t>勤務
形態</t>
    <rPh sb="3" eb="5">
      <t>ケイタイ</t>
    </rPh>
    <phoneticPr fontId="2"/>
  </si>
  <si>
    <t>第　１　週</t>
    <phoneticPr fontId="2"/>
  </si>
  <si>
    <t>第　２　週</t>
    <phoneticPr fontId="2"/>
  </si>
  <si>
    <t>第　３　週</t>
    <phoneticPr fontId="2"/>
  </si>
  <si>
    <t>第　４　週</t>
    <phoneticPr fontId="2"/>
  </si>
  <si>
    <t>週平均</t>
  </si>
  <si>
    <t>常勤換</t>
    <rPh sb="0" eb="2">
      <t>ジョウキン</t>
    </rPh>
    <rPh sb="2" eb="3">
      <t>カン</t>
    </rPh>
    <phoneticPr fontId="2"/>
  </si>
  <si>
    <t>兼務す</t>
    <rPh sb="0" eb="2">
      <t>ケンム</t>
    </rPh>
    <phoneticPr fontId="2"/>
  </si>
  <si>
    <t>職　　種</t>
  </si>
  <si>
    <t>資格</t>
    <rPh sb="0" eb="2">
      <t>シカク</t>
    </rPh>
    <phoneticPr fontId="2"/>
  </si>
  <si>
    <t>氏　　名</t>
    <phoneticPr fontId="2"/>
  </si>
  <si>
    <t>合計勤</t>
    <rPh sb="0" eb="2">
      <t>ゴウケイ</t>
    </rPh>
    <phoneticPr fontId="2"/>
  </si>
  <si>
    <t>の勤務</t>
  </si>
  <si>
    <t>算後の</t>
    <rPh sb="0" eb="1">
      <t>サン</t>
    </rPh>
    <rPh sb="1" eb="2">
      <t>ゴ</t>
    </rPh>
    <phoneticPr fontId="2"/>
  </si>
  <si>
    <t>る職務</t>
    <rPh sb="1" eb="2">
      <t>ショク</t>
    </rPh>
    <rPh sb="2" eb="3">
      <t>ツトム</t>
    </rPh>
    <phoneticPr fontId="2"/>
  </si>
  <si>
    <t>※曜日→</t>
    <rPh sb="1" eb="3">
      <t>ヨウビ</t>
    </rPh>
    <phoneticPr fontId="2"/>
  </si>
  <si>
    <t>務時間</t>
    <phoneticPr fontId="2"/>
  </si>
  <si>
    <t>の内容</t>
    <rPh sb="1" eb="3">
      <t>ナイヨウ</t>
    </rPh>
    <phoneticPr fontId="2"/>
  </si>
  <si>
    <t>管理者</t>
    <rPh sb="0" eb="3">
      <t>カンリシャ</t>
    </rPh>
    <phoneticPr fontId="2"/>
  </si>
  <si>
    <t>B</t>
    <phoneticPr fontId="2"/>
  </si>
  <si>
    <t>①</t>
    <phoneticPr fontId="2"/>
  </si>
  <si>
    <t>看護職員</t>
    <rPh sb="0" eb="2">
      <t>カンゴ</t>
    </rPh>
    <rPh sb="2" eb="4">
      <t>ショクイン</t>
    </rPh>
    <phoneticPr fontId="2"/>
  </si>
  <si>
    <t>理学療法士</t>
    <rPh sb="0" eb="2">
      <t>リガク</t>
    </rPh>
    <rPh sb="2" eb="5">
      <t>リョウホウシ</t>
    </rPh>
    <phoneticPr fontId="2"/>
  </si>
  <si>
    <t>作業療法士</t>
    <rPh sb="0" eb="2">
      <t>サギョウ</t>
    </rPh>
    <rPh sb="2" eb="5">
      <t>リョウホウシ</t>
    </rPh>
    <phoneticPr fontId="2"/>
  </si>
  <si>
    <t>＜備　考＞</t>
    <rPh sb="1" eb="4">
      <t>ビコウ</t>
    </rPh>
    <phoneticPr fontId="2"/>
  </si>
  <si>
    <t>常勤換算後の人数の合計→</t>
    <rPh sb="0" eb="2">
      <t>ジョウキン</t>
    </rPh>
    <rPh sb="2" eb="4">
      <t>カンザン</t>
    </rPh>
    <rPh sb="4" eb="5">
      <t>ゴ</t>
    </rPh>
    <rPh sb="6" eb="8">
      <t>ニンズウ</t>
    </rPh>
    <rPh sb="9" eb="11">
      <t>ゴウケイ</t>
    </rPh>
    <phoneticPr fontId="2"/>
  </si>
  <si>
    <t>「勤務時間ごとの区分」　：</t>
    <phoneticPr fontId="2"/>
  </si>
  <si>
    <t>②</t>
    <phoneticPr fontId="2"/>
  </si>
  <si>
    <t>③</t>
    <phoneticPr fontId="2"/>
  </si>
  <si>
    <t>④</t>
    <phoneticPr fontId="2"/>
  </si>
  <si>
    <t>＋</t>
    <phoneticPr fontId="2"/>
  </si>
  <si>
    <t>常勤の従業者が勤務すべき１週あたりの勤務時間数（就業規則で定められた１週あたりの勤務時間）</t>
    <rPh sb="0" eb="2">
      <t>ジョウキン</t>
    </rPh>
    <rPh sb="3" eb="6">
      <t>ジュウギョウシャ</t>
    </rPh>
    <rPh sb="7" eb="9">
      <t>キンム</t>
    </rPh>
    <rPh sb="13" eb="14">
      <t>シュウ</t>
    </rPh>
    <rPh sb="18" eb="20">
      <t>キンム</t>
    </rPh>
    <rPh sb="20" eb="22">
      <t>ジカン</t>
    </rPh>
    <rPh sb="22" eb="23">
      <t>スウ</t>
    </rPh>
    <rPh sb="24" eb="26">
      <t>シュウギョウ</t>
    </rPh>
    <rPh sb="26" eb="28">
      <t>キソク</t>
    </rPh>
    <rPh sb="29" eb="30">
      <t>サダ</t>
    </rPh>
    <rPh sb="35" eb="36">
      <t>シュウ</t>
    </rPh>
    <rPh sb="40" eb="42">
      <t>キンム</t>
    </rPh>
    <rPh sb="42" eb="44">
      <t>ジカン</t>
    </rPh>
    <phoneticPr fontId="2"/>
  </si>
  <si>
    <t>時間</t>
    <phoneticPr fontId="2"/>
  </si>
  <si>
    <t>人数</t>
    <rPh sb="0" eb="2">
      <t>ニンズウ</t>
    </rPh>
    <phoneticPr fontId="2"/>
  </si>
  <si>
    <t>年</t>
    <rPh sb="0" eb="1">
      <t>ネン</t>
    </rPh>
    <phoneticPr fontId="2"/>
  </si>
  <si>
    <t>注１　資格については、資格証等を確認のうえ、略称で記載してください。　【例】「看」：看護師、「保」：保健師、「准」：准看護師、「理」：理学療法士、「作」：作業療法士、「言」：言語聴覚士</t>
    <rPh sb="0" eb="1">
      <t>チュウ</t>
    </rPh>
    <rPh sb="14" eb="15">
      <t>ナド</t>
    </rPh>
    <rPh sb="22" eb="24">
      <t>リャクショウ</t>
    </rPh>
    <rPh sb="25" eb="27">
      <t>キサイ</t>
    </rPh>
    <rPh sb="47" eb="48">
      <t>ホ</t>
    </rPh>
    <rPh sb="50" eb="53">
      <t>ホケンシ</t>
    </rPh>
    <rPh sb="64" eb="65">
      <t>リ</t>
    </rPh>
    <rPh sb="67" eb="69">
      <t>リガク</t>
    </rPh>
    <rPh sb="69" eb="72">
      <t>リョウホウシ</t>
    </rPh>
    <rPh sb="74" eb="75">
      <t>サク</t>
    </rPh>
    <rPh sb="77" eb="79">
      <t>サギョウ</t>
    </rPh>
    <rPh sb="79" eb="82">
      <t>リョウホウシ</t>
    </rPh>
    <rPh sb="84" eb="85">
      <t>ゲン</t>
    </rPh>
    <rPh sb="87" eb="89">
      <t>ゲンゴ</t>
    </rPh>
    <rPh sb="89" eb="92">
      <t>チョウカクシ</t>
    </rPh>
    <phoneticPr fontId="2"/>
  </si>
  <si>
    <t>　　　　　【例】１時間のサービスを２回、３０分（０．５時間）のサービスを１回提供する日は、「２．５」と記載する。</t>
    <rPh sb="6" eb="7">
      <t>レイ</t>
    </rPh>
    <rPh sb="9" eb="11">
      <t>ジカン</t>
    </rPh>
    <rPh sb="18" eb="19">
      <t>カイ</t>
    </rPh>
    <rPh sb="22" eb="23">
      <t>プン</t>
    </rPh>
    <rPh sb="27" eb="29">
      <t>ジカン</t>
    </rPh>
    <rPh sb="37" eb="38">
      <t>カイ</t>
    </rPh>
    <rPh sb="38" eb="40">
      <t>テイキョウ</t>
    </rPh>
    <rPh sb="42" eb="43">
      <t>ヒ</t>
    </rPh>
    <rPh sb="51" eb="53">
      <t>キサイ</t>
    </rPh>
    <phoneticPr fontId="2"/>
  </si>
  <si>
    <t xml:space="preserve">   ４　勤務形態については、次の区分にしたがい、記号で記載してください。　法人の雇用形態の区分ではなく、訪問看護事業所における勤務時間、職種によって決まります。</t>
    <rPh sb="5" eb="7">
      <t>キンム</t>
    </rPh>
    <rPh sb="7" eb="9">
      <t>ケイタイ</t>
    </rPh>
    <rPh sb="15" eb="16">
      <t>ツギ</t>
    </rPh>
    <rPh sb="17" eb="19">
      <t>クブン</t>
    </rPh>
    <rPh sb="25" eb="27">
      <t>キゴウ</t>
    </rPh>
    <rPh sb="28" eb="30">
      <t>キサイ</t>
    </rPh>
    <rPh sb="38" eb="40">
      <t>ホウジン</t>
    </rPh>
    <rPh sb="41" eb="43">
      <t>コヨウ</t>
    </rPh>
    <rPh sb="43" eb="45">
      <t>ケイタイ</t>
    </rPh>
    <rPh sb="46" eb="48">
      <t>クブン</t>
    </rPh>
    <rPh sb="53" eb="55">
      <t>ホウモン</t>
    </rPh>
    <rPh sb="55" eb="57">
      <t>カンゴ</t>
    </rPh>
    <rPh sb="57" eb="60">
      <t>ジギョウショ</t>
    </rPh>
    <rPh sb="64" eb="66">
      <t>キンム</t>
    </rPh>
    <rPh sb="66" eb="68">
      <t>ジカン</t>
    </rPh>
    <rPh sb="69" eb="71">
      <t>ショクシュ</t>
    </rPh>
    <rPh sb="75" eb="76">
      <t>キ</t>
    </rPh>
    <phoneticPr fontId="2"/>
  </si>
  <si>
    <t>　　　　　【区分】「Ａ」：常勤専従、「Ｂ」：常勤兼務、「Ｃ」：非常勤専従、「Ｄ」：非常勤兼務</t>
    <rPh sb="6" eb="8">
      <t>クブン</t>
    </rPh>
    <rPh sb="31" eb="32">
      <t>ヒ</t>
    </rPh>
    <rPh sb="41" eb="42">
      <t>ヒ</t>
    </rPh>
    <phoneticPr fontId="2"/>
  </si>
  <si>
    <t xml:space="preserve">   ５　常勤換算後の人数の計算式は、次のとおりです。</t>
    <rPh sb="5" eb="7">
      <t>ジョウキン</t>
    </rPh>
    <rPh sb="7" eb="9">
      <t>カンサン</t>
    </rPh>
    <rPh sb="9" eb="10">
      <t>ゴ</t>
    </rPh>
    <rPh sb="11" eb="13">
      <t>ニンズウ</t>
    </rPh>
    <rPh sb="14" eb="17">
      <t>ケイサンシキ</t>
    </rPh>
    <rPh sb="19" eb="20">
      <t>ツギ</t>
    </rPh>
    <phoneticPr fontId="2"/>
  </si>
  <si>
    <t>常勤の従業者の員数</t>
    <rPh sb="0" eb="2">
      <t>ジョウキン</t>
    </rPh>
    <rPh sb="3" eb="6">
      <t>ジュウギョウシャ</t>
    </rPh>
    <rPh sb="7" eb="9">
      <t>インスウ</t>
    </rPh>
    <phoneticPr fontId="2"/>
  </si>
  <si>
    <t>常勤の従業者が勤務すべき１週あたりの勤務時間数（Ａ）</t>
  </si>
  <si>
    <t>非常勤の従業者の週平均の勤務時間数の合計</t>
    <rPh sb="8" eb="11">
      <t>シュウヘイキン</t>
    </rPh>
    <phoneticPr fontId="2"/>
  </si>
  <si>
    <t>（小数点第２位切り捨て）</t>
  </si>
  <si>
    <t>　　　　※訪問看護事業所とは別に他の事業所にも従事する従業者は、法人の雇用形態は常勤であっても、非常勤に区分されます。（複数事業所の管理者を同時並行的に行う場合を除く。）</t>
    <rPh sb="5" eb="7">
      <t>ホウモン</t>
    </rPh>
    <rPh sb="7" eb="9">
      <t>カンゴ</t>
    </rPh>
    <rPh sb="9" eb="12">
      <t>ジギョウショ</t>
    </rPh>
    <rPh sb="14" eb="15">
      <t>ベツ</t>
    </rPh>
    <rPh sb="16" eb="17">
      <t>タ</t>
    </rPh>
    <rPh sb="18" eb="21">
      <t>ジギョウショ</t>
    </rPh>
    <rPh sb="23" eb="25">
      <t>ジュウジ</t>
    </rPh>
    <rPh sb="27" eb="30">
      <t>ジュウギョウシャ</t>
    </rPh>
    <rPh sb="32" eb="34">
      <t>ホウジン</t>
    </rPh>
    <rPh sb="35" eb="37">
      <t>コヨウ</t>
    </rPh>
    <rPh sb="37" eb="39">
      <t>ケイタイ</t>
    </rPh>
    <rPh sb="40" eb="42">
      <t>ジョウキン</t>
    </rPh>
    <rPh sb="48" eb="51">
      <t>ヒジョウキン</t>
    </rPh>
    <rPh sb="52" eb="54">
      <t>クブン</t>
    </rPh>
    <rPh sb="60" eb="62">
      <t>フクスウ</t>
    </rPh>
    <rPh sb="62" eb="65">
      <t>ジギョウショ</t>
    </rPh>
    <rPh sb="66" eb="68">
      <t>カンリ</t>
    </rPh>
    <rPh sb="68" eb="69">
      <t>シャ</t>
    </rPh>
    <rPh sb="70" eb="72">
      <t>ドウジ</t>
    </rPh>
    <rPh sb="72" eb="74">
      <t>ヘイコウ</t>
    </rPh>
    <rPh sb="74" eb="75">
      <t>テキ</t>
    </rPh>
    <rPh sb="76" eb="77">
      <t>オコナ</t>
    </rPh>
    <rPh sb="78" eb="80">
      <t>バアイ</t>
    </rPh>
    <rPh sb="81" eb="82">
      <t>ノゾ</t>
    </rPh>
    <phoneticPr fontId="2"/>
  </si>
  <si>
    <t>ターミナルケア加算　</t>
    <rPh sb="7" eb="9">
      <t>カサン</t>
    </rPh>
    <phoneticPr fontId="2"/>
  </si>
  <si>
    <r>
      <t>※届け出ている加算に☑を入れること。緊急時訪問看護加算（又はターミナルケア加算）を届け出ている場合は、看護師等が緊急時連絡用の</t>
    </r>
    <r>
      <rPr>
        <b/>
        <u/>
        <sz val="10"/>
        <color indexed="10"/>
        <rFont val="ＭＳ Ｐゴシック"/>
        <family val="3"/>
        <charset val="128"/>
      </rPr>
      <t>携帯電話等を持つ日を色づけすること</t>
    </r>
    <r>
      <rPr>
        <b/>
        <sz val="10"/>
        <color indexed="10"/>
        <rFont val="ＭＳ Ｐゴシック"/>
        <family val="3"/>
        <charset val="128"/>
      </rPr>
      <t>。</t>
    </r>
    <rPh sb="1" eb="2">
      <t>トド</t>
    </rPh>
    <rPh sb="3" eb="4">
      <t>デ</t>
    </rPh>
    <rPh sb="7" eb="9">
      <t>カサン</t>
    </rPh>
    <rPh sb="12" eb="13">
      <t>イ</t>
    </rPh>
    <rPh sb="18" eb="21">
      <t>キンキュウジ</t>
    </rPh>
    <rPh sb="21" eb="23">
      <t>ホウモン</t>
    </rPh>
    <rPh sb="23" eb="25">
      <t>カンゴ</t>
    </rPh>
    <rPh sb="25" eb="27">
      <t>カサン</t>
    </rPh>
    <rPh sb="28" eb="29">
      <t>マタ</t>
    </rPh>
    <rPh sb="37" eb="39">
      <t>カサン</t>
    </rPh>
    <rPh sb="41" eb="42">
      <t>トド</t>
    </rPh>
    <rPh sb="43" eb="44">
      <t>デ</t>
    </rPh>
    <rPh sb="47" eb="49">
      <t>バアイ</t>
    </rPh>
    <rPh sb="51" eb="54">
      <t>カンゴシ</t>
    </rPh>
    <rPh sb="54" eb="55">
      <t>トウ</t>
    </rPh>
    <rPh sb="56" eb="59">
      <t>キンキュウジ</t>
    </rPh>
    <rPh sb="59" eb="62">
      <t>レンラクヨウ</t>
    </rPh>
    <rPh sb="63" eb="65">
      <t>ケイタイ</t>
    </rPh>
    <rPh sb="65" eb="67">
      <t>デンワ</t>
    </rPh>
    <rPh sb="67" eb="68">
      <t>トウ</t>
    </rPh>
    <rPh sb="69" eb="70">
      <t>モ</t>
    </rPh>
    <rPh sb="71" eb="72">
      <t>ヒ</t>
    </rPh>
    <rPh sb="73" eb="74">
      <t>イロ</t>
    </rPh>
    <phoneticPr fontId="2"/>
  </si>
  <si>
    <t>時間）</t>
    <rPh sb="0" eb="2">
      <t>ジカン</t>
    </rPh>
    <phoneticPr fontId="2"/>
  </si>
  <si>
    <t>時間／週 （Ａ）</t>
    <rPh sb="0" eb="2">
      <t>ジカン</t>
    </rPh>
    <rPh sb="3" eb="4">
      <t>シュウ</t>
    </rPh>
    <phoneticPr fontId="2"/>
  </si>
  <si>
    <t>　　　　※計算の対象となる従業者は、看護職員のみです。</t>
    <rPh sb="5" eb="7">
      <t>ケイサン</t>
    </rPh>
    <rPh sb="8" eb="10">
      <t>タイショウ</t>
    </rPh>
    <rPh sb="13" eb="16">
      <t>ジュウギョウシャ</t>
    </rPh>
    <rPh sb="18" eb="20">
      <t>カンゴ</t>
    </rPh>
    <rPh sb="20" eb="22">
      <t>ショクイン</t>
    </rPh>
    <phoneticPr fontId="2"/>
  </si>
  <si>
    <t>看</t>
    <rPh sb="0" eb="1">
      <t>カン</t>
    </rPh>
    <phoneticPr fontId="2"/>
  </si>
  <si>
    <t>A</t>
    <phoneticPr fontId="2"/>
  </si>
  <si>
    <t>C</t>
    <phoneticPr fontId="2"/>
  </si>
  <si>
    <t>40</t>
    <phoneticPr fontId="2"/>
  </si>
  <si>
    <t>作</t>
    <rPh sb="0" eb="1">
      <t>サク</t>
    </rPh>
    <phoneticPr fontId="2"/>
  </si>
  <si>
    <t>(</t>
    <phoneticPr fontId="2"/>
  </si>
  <si>
    <t>月）</t>
    <rPh sb="0" eb="1">
      <t>ガツ</t>
    </rPh>
    <phoneticPr fontId="2"/>
  </si>
  <si>
    <t>カノン　訪問看護ステーション</t>
    <rPh sb="4" eb="8">
      <t>ホウモンカンゴ</t>
    </rPh>
    <phoneticPr fontId="2"/>
  </si>
  <si>
    <t>福田　仁美</t>
    <rPh sb="0" eb="2">
      <t>フクダ</t>
    </rPh>
    <rPh sb="3" eb="5">
      <t>ヒトミ</t>
    </rPh>
    <phoneticPr fontId="2"/>
  </si>
  <si>
    <t>看護職員</t>
    <rPh sb="0" eb="4">
      <t>カンゴショクイン</t>
    </rPh>
    <phoneticPr fontId="2"/>
  </si>
  <si>
    <t>8</t>
    <phoneticPr fontId="2"/>
  </si>
  <si>
    <t>30</t>
    <phoneticPr fontId="2"/>
  </si>
  <si>
    <t>17</t>
    <phoneticPr fontId="2"/>
  </si>
  <si>
    <t>長江 恵理</t>
    <rPh sb="0" eb="2">
      <t>ナガエ</t>
    </rPh>
    <rPh sb="3" eb="5">
      <t>エリ</t>
    </rPh>
    <phoneticPr fontId="2"/>
  </si>
  <si>
    <t>休</t>
  </si>
  <si>
    <t>4週の</t>
    <phoneticPr fontId="2"/>
  </si>
  <si>
    <t>渡邉　真依子</t>
    <phoneticPr fontId="2"/>
  </si>
  <si>
    <t>淺間 美和</t>
    <phoneticPr fontId="2"/>
  </si>
  <si>
    <t>大田　宏樹</t>
    <phoneticPr fontId="2"/>
  </si>
  <si>
    <t>淺野　のぞみ</t>
    <rPh sb="0" eb="2">
      <t>アサノ</t>
    </rPh>
    <phoneticPr fontId="2"/>
  </si>
  <si>
    <t>田中　友紀</t>
  </si>
  <si>
    <t>令和8</t>
    <rPh sb="0" eb="2">
      <t>レイワ</t>
    </rPh>
    <phoneticPr fontId="2"/>
  </si>
  <si>
    <t>第５週</t>
    <rPh sb="0" eb="1">
      <t>ダイ</t>
    </rPh>
    <rPh sb="2" eb="3">
      <t>シュウ</t>
    </rPh>
    <phoneticPr fontId="2"/>
  </si>
  <si>
    <t>池田　容子</t>
    <rPh sb="0" eb="2">
      <t>イケダ</t>
    </rPh>
    <phoneticPr fontId="2"/>
  </si>
  <si>
    <r>
      <t xml:space="preserve">   ２  </t>
    </r>
    <r>
      <rPr>
        <u/>
        <sz val="9"/>
        <rFont val="ＭＳ Ｐゴシック"/>
        <family val="3"/>
        <charset val="128"/>
      </rPr>
      <t>常勤</t>
    </r>
    <r>
      <rPr>
        <sz val="9"/>
        <rFont val="ＭＳ Ｐゴシック"/>
        <family val="3"/>
        <charset val="128"/>
      </rPr>
      <t>の従業者の勤務時間は、勤務時間ごとの区分（上記の区分）にしたがい、番号で記載してください。　また、公休は「×」、有給休暇は「有」、出張は「出」のように記載してください。</t>
    </r>
    <rPh sb="6" eb="8">
      <t>ジョウキン</t>
    </rPh>
    <rPh sb="9" eb="12">
      <t>ジュウギョウシャ</t>
    </rPh>
    <rPh sb="13" eb="15">
      <t>キンム</t>
    </rPh>
    <rPh sb="15" eb="17">
      <t>ジカン</t>
    </rPh>
    <rPh sb="19" eb="21">
      <t>キンム</t>
    </rPh>
    <rPh sb="21" eb="23">
      <t>ジカン</t>
    </rPh>
    <rPh sb="26" eb="28">
      <t>クブン</t>
    </rPh>
    <rPh sb="29" eb="31">
      <t>ジョウキ</t>
    </rPh>
    <rPh sb="32" eb="34">
      <t>クブン</t>
    </rPh>
    <rPh sb="41" eb="43">
      <t>バンゴウ</t>
    </rPh>
    <rPh sb="44" eb="46">
      <t>キサイ</t>
    </rPh>
    <rPh sb="57" eb="59">
      <t>コウキュウ</t>
    </rPh>
    <rPh sb="64" eb="68">
      <t>ユウキュウキュウカ</t>
    </rPh>
    <rPh sb="70" eb="71">
      <t>ユウ</t>
    </rPh>
    <rPh sb="73" eb="75">
      <t>シュッチョウ</t>
    </rPh>
    <rPh sb="77" eb="78">
      <t>シュツ</t>
    </rPh>
    <rPh sb="83" eb="85">
      <t>キサイ</t>
    </rPh>
    <phoneticPr fontId="2"/>
  </si>
  <si>
    <r>
      <t xml:space="preserve">   ３  </t>
    </r>
    <r>
      <rPr>
        <u/>
        <sz val="9"/>
        <rFont val="ＭＳ Ｐゴシック"/>
        <family val="3"/>
        <charset val="128"/>
      </rPr>
      <t>非常勤</t>
    </r>
    <r>
      <rPr>
        <sz val="9"/>
        <rFont val="ＭＳ Ｐゴシック"/>
        <family val="3"/>
        <charset val="128"/>
      </rPr>
      <t>の従業者の勤務時間は、必ずしも番号で記載する必要はなく、日々の勤務時間数（当該事業所のサービス提供に従事した延時間数）を記載することで構いません。</t>
    </r>
    <rPh sb="6" eb="9">
      <t>ヒジョウキン</t>
    </rPh>
    <rPh sb="10" eb="13">
      <t>ジュウギョウシャ</t>
    </rPh>
    <rPh sb="14" eb="16">
      <t>キンム</t>
    </rPh>
    <rPh sb="16" eb="18">
      <t>ジカン</t>
    </rPh>
    <rPh sb="20" eb="21">
      <t>カナラ</t>
    </rPh>
    <rPh sb="24" eb="26">
      <t>バンゴウ</t>
    </rPh>
    <rPh sb="27" eb="29">
      <t>キサイ</t>
    </rPh>
    <rPh sb="31" eb="33">
      <t>ヒツヨウ</t>
    </rPh>
    <rPh sb="37" eb="39">
      <t>ヒビ</t>
    </rPh>
    <rPh sb="40" eb="42">
      <t>キンム</t>
    </rPh>
    <rPh sb="42" eb="44">
      <t>ジカン</t>
    </rPh>
    <rPh sb="44" eb="45">
      <t>スウ</t>
    </rPh>
    <rPh sb="46" eb="48">
      <t>トウガイ</t>
    </rPh>
    <rPh sb="48" eb="51">
      <t>ジギョウショ</t>
    </rPh>
    <rPh sb="56" eb="58">
      <t>テイキョウ</t>
    </rPh>
    <rPh sb="59" eb="61">
      <t>ジュウジ</t>
    </rPh>
    <rPh sb="63" eb="64">
      <t>ノベ</t>
    </rPh>
    <rPh sb="64" eb="67">
      <t>ジカンスウ</t>
    </rPh>
    <rPh sb="69" eb="71">
      <t>キサイ</t>
    </rPh>
    <rPh sb="76" eb="77">
      <t>カマ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</si>
</sst>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81" formatCode="0.00_ "/>
    <numFmt numFmtId="184" formatCode="d"/>
    <numFmt numFmtId="187" formatCode="0.00_);[Red]\(0.00\)"/>
  </numFmts>
  <fonts count="1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MS UI Gothic"/>
      <family val="3"/>
      <charset val="128"/>
    </font>
    <font>
      <b/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u/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color indexed="14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b/>
      <u/>
      <sz val="10"/>
      <color indexed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u/>
      <sz val="9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 diagonalUp="1">
      <left/>
      <right style="medium">
        <color indexed="64"/>
      </right>
      <top/>
      <bottom/>
      <diagonal style="thin">
        <color indexed="64"/>
      </diagonal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03">
    <xf numFmtId="0" fontId="0" fillId="0" borderId="0" xfId="0">
      <alignment vertical="center"/>
    </xf>
    <xf numFmtId="0" fontId="9" fillId="0" borderId="0" xfId="0" applyFont="1" applyAlignment="1">
      <alignment horizontal="center" vertical="center" shrinkToFit="1"/>
    </xf>
    <xf numFmtId="0" fontId="7" fillId="0" borderId="0" xfId="1" applyFont="1" applyAlignment="1">
      <alignment vertical="center"/>
    </xf>
    <xf numFmtId="0" fontId="0" fillId="0" borderId="0" xfId="0" applyAlignment="1">
      <alignment horizontal="left" vertical="center"/>
    </xf>
    <xf numFmtId="49" fontId="11" fillId="0" borderId="1" xfId="0" applyNumberFormat="1" applyFont="1" applyBorder="1" applyAlignment="1" applyProtection="1">
      <alignment horizontal="center" vertical="center" shrinkToFit="1"/>
      <protection locked="0"/>
    </xf>
    <xf numFmtId="49" fontId="11" fillId="0" borderId="2" xfId="0" applyNumberFormat="1" applyFont="1" applyBorder="1" applyAlignment="1" applyProtection="1">
      <alignment horizontal="center" vertical="center" shrinkToFit="1"/>
      <protection locked="0"/>
    </xf>
    <xf numFmtId="49" fontId="11" fillId="0" borderId="3" xfId="0" applyNumberFormat="1" applyFont="1" applyBorder="1" applyAlignment="1" applyProtection="1">
      <alignment horizontal="center" vertical="center" shrinkToFit="1"/>
      <protection locked="0"/>
    </xf>
    <xf numFmtId="49" fontId="11" fillId="0" borderId="4" xfId="0" applyNumberFormat="1" applyFont="1" applyBorder="1" applyAlignment="1" applyProtection="1">
      <alignment horizontal="center" vertical="center" shrinkToFit="1"/>
      <protection locked="0"/>
    </xf>
    <xf numFmtId="49" fontId="11" fillId="0" borderId="5" xfId="0" applyNumberFormat="1" applyFont="1" applyBorder="1" applyAlignment="1" applyProtection="1">
      <alignment horizontal="center" vertical="center" shrinkToFit="1"/>
      <protection locked="0"/>
    </xf>
    <xf numFmtId="49" fontId="11" fillId="0" borderId="6" xfId="0" applyNumberFormat="1" applyFont="1" applyBorder="1" applyAlignment="1" applyProtection="1">
      <alignment horizontal="center" vertical="center" shrinkToFit="1"/>
      <protection locked="0"/>
    </xf>
    <xf numFmtId="49" fontId="11" fillId="0" borderId="7" xfId="0" applyNumberFormat="1" applyFont="1" applyBorder="1" applyAlignment="1" applyProtection="1">
      <alignment horizontal="center" vertical="center" shrinkToFit="1"/>
      <protection locked="0"/>
    </xf>
    <xf numFmtId="49" fontId="11" fillId="0" borderId="8" xfId="0" applyNumberFormat="1" applyFont="1" applyBorder="1" applyAlignment="1" applyProtection="1">
      <alignment horizontal="center" vertical="center" shrinkToFit="1"/>
      <protection locked="0"/>
    </xf>
    <xf numFmtId="49" fontId="11" fillId="0" borderId="9" xfId="0" applyNumberFormat="1" applyFont="1" applyBorder="1" applyAlignment="1" applyProtection="1">
      <alignment horizontal="center" vertical="center" shrinkToFit="1"/>
      <protection locked="0"/>
    </xf>
    <xf numFmtId="49" fontId="11" fillId="0" borderId="10" xfId="0" applyNumberFormat="1" applyFont="1" applyBorder="1" applyAlignment="1" applyProtection="1">
      <alignment horizontal="center" vertical="center" shrinkToFit="1"/>
      <protection locked="0"/>
    </xf>
    <xf numFmtId="49" fontId="11" fillId="0" borderId="11" xfId="0" applyNumberFormat="1" applyFont="1" applyBorder="1" applyAlignment="1" applyProtection="1">
      <alignment horizontal="center" vertical="center" shrinkToFit="1"/>
      <protection locked="0"/>
    </xf>
    <xf numFmtId="49" fontId="11" fillId="0" borderId="12" xfId="0" applyNumberFormat="1" applyFont="1" applyBorder="1" applyAlignment="1" applyProtection="1">
      <alignment horizontal="center" vertical="center" shrinkToFit="1"/>
      <protection locked="0"/>
    </xf>
    <xf numFmtId="49" fontId="11" fillId="0" borderId="13" xfId="0" applyNumberFormat="1" applyFont="1" applyBorder="1" applyAlignment="1" applyProtection="1">
      <alignment horizontal="center" vertical="center" shrinkToFit="1"/>
      <protection locked="0"/>
    </xf>
    <xf numFmtId="49" fontId="11" fillId="0" borderId="14" xfId="0" applyNumberFormat="1" applyFont="1" applyBorder="1" applyAlignment="1" applyProtection="1">
      <alignment horizontal="center" vertical="center" shrinkToFit="1"/>
      <protection locked="0"/>
    </xf>
    <xf numFmtId="49" fontId="11" fillId="0" borderId="15" xfId="0" applyNumberFormat="1" applyFont="1" applyBorder="1" applyAlignment="1" applyProtection="1">
      <alignment horizontal="center" vertical="center" shrinkToFit="1"/>
      <protection locked="0"/>
    </xf>
    <xf numFmtId="49" fontId="11" fillId="0" borderId="16" xfId="0" applyNumberFormat="1" applyFont="1" applyBorder="1" applyAlignment="1" applyProtection="1">
      <alignment horizontal="center" vertical="center" shrinkToFit="1"/>
      <protection locked="0"/>
    </xf>
    <xf numFmtId="49" fontId="11" fillId="0" borderId="17" xfId="0" applyNumberFormat="1" applyFont="1" applyBorder="1" applyAlignment="1" applyProtection="1">
      <alignment horizontal="center" vertical="center" shrinkToFit="1"/>
      <protection locked="0"/>
    </xf>
    <xf numFmtId="49" fontId="11" fillId="0" borderId="18" xfId="0" applyNumberFormat="1" applyFont="1" applyBorder="1" applyAlignment="1" applyProtection="1">
      <alignment horizontal="center" vertical="center" shrinkToFit="1"/>
      <protection locked="0"/>
    </xf>
    <xf numFmtId="49" fontId="11" fillId="0" borderId="19" xfId="0" applyNumberFormat="1" applyFont="1" applyBorder="1" applyAlignment="1" applyProtection="1">
      <alignment horizontal="center" vertical="center" shrinkToFit="1"/>
      <protection locked="0"/>
    </xf>
    <xf numFmtId="176" fontId="11" fillId="0" borderId="20" xfId="0" applyNumberFormat="1" applyFont="1" applyBorder="1" applyAlignment="1" applyProtection="1">
      <alignment horizontal="center" vertical="center"/>
      <protection locked="0"/>
    </xf>
    <xf numFmtId="176" fontId="11" fillId="0" borderId="21" xfId="0" applyNumberFormat="1" applyFont="1" applyBorder="1" applyAlignment="1" applyProtection="1">
      <alignment horizontal="center" vertical="center"/>
      <protection locked="0"/>
    </xf>
    <xf numFmtId="49" fontId="11" fillId="0" borderId="22" xfId="0" applyNumberFormat="1" applyFont="1" applyBorder="1" applyAlignment="1" applyProtection="1">
      <alignment horizontal="center" vertical="center" shrinkToFit="1"/>
      <protection locked="0"/>
    </xf>
    <xf numFmtId="49" fontId="11" fillId="0" borderId="21" xfId="0" applyNumberFormat="1" applyFont="1" applyBorder="1" applyAlignment="1" applyProtection="1">
      <alignment horizontal="center" vertical="center" shrinkToFit="1"/>
      <protection locked="0"/>
    </xf>
    <xf numFmtId="49" fontId="11" fillId="0" borderId="23" xfId="0" applyNumberFormat="1" applyFont="1" applyBorder="1" applyAlignment="1" applyProtection="1">
      <alignment horizontal="center" vertical="center" shrinkToFit="1"/>
      <protection locked="0"/>
    </xf>
    <xf numFmtId="49" fontId="11" fillId="0" borderId="24" xfId="0" applyNumberFormat="1" applyFont="1" applyBorder="1" applyAlignment="1" applyProtection="1">
      <alignment horizontal="center" vertical="center" shrinkToFit="1"/>
      <protection locked="0"/>
    </xf>
    <xf numFmtId="49" fontId="11" fillId="0" borderId="25" xfId="0" applyNumberFormat="1" applyFont="1" applyBorder="1" applyAlignment="1" applyProtection="1">
      <alignment horizontal="center" vertical="center"/>
      <protection locked="0"/>
    </xf>
    <xf numFmtId="0" fontId="7" fillId="0" borderId="0" xfId="0" applyFont="1">
      <alignment vertical="center"/>
    </xf>
    <xf numFmtId="49" fontId="11" fillId="0" borderId="20" xfId="0" applyNumberFormat="1" applyFont="1" applyBorder="1" applyAlignment="1" applyProtection="1">
      <alignment horizontal="center" vertical="center" shrinkToFit="1"/>
      <protection locked="0"/>
    </xf>
    <xf numFmtId="176" fontId="11" fillId="0" borderId="24" xfId="0" applyNumberFormat="1" applyFont="1" applyBorder="1" applyAlignment="1" applyProtection="1">
      <alignment horizontal="center" vertical="center"/>
      <protection locked="0"/>
    </xf>
    <xf numFmtId="49" fontId="11" fillId="0" borderId="26" xfId="0" applyNumberFormat="1" applyFont="1" applyBorder="1" applyAlignment="1" applyProtection="1">
      <alignment horizontal="center" vertical="center" shrinkToFit="1"/>
      <protection locked="0"/>
    </xf>
    <xf numFmtId="181" fontId="0" fillId="0" borderId="0" xfId="0" applyNumberFormat="1">
      <alignment vertical="center"/>
    </xf>
    <xf numFmtId="49" fontId="4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7" fillId="0" borderId="0" xfId="0" applyNumberFormat="1" applyFont="1" applyAlignment="1">
      <alignment vertical="center" shrinkToFit="1"/>
    </xf>
    <xf numFmtId="0" fontId="6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1" fillId="0" borderId="0" xfId="1" applyAlignment="1">
      <alignment vertical="center"/>
    </xf>
    <xf numFmtId="0" fontId="8" fillId="0" borderId="0" xfId="1" applyFon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0" fontId="7" fillId="0" borderId="0" xfId="1" applyFont="1" applyAlignment="1">
      <alignment horizontal="right"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49" fontId="17" fillId="0" borderId="0" xfId="0" applyNumberFormat="1" applyFont="1">
      <alignment vertical="center"/>
    </xf>
    <xf numFmtId="49" fontId="11" fillId="0" borderId="0" xfId="0" applyNumberFormat="1" applyFont="1">
      <alignment vertical="center"/>
    </xf>
    <xf numFmtId="0" fontId="11" fillId="0" borderId="27" xfId="0" applyFont="1" applyBorder="1" applyAlignment="1">
      <alignment horizontal="center" vertical="center" shrinkToFit="1"/>
    </xf>
    <xf numFmtId="0" fontId="11" fillId="0" borderId="14" xfId="0" applyFont="1" applyBorder="1" applyAlignment="1">
      <alignment horizontal="center" vertical="center" shrinkToFit="1"/>
    </xf>
    <xf numFmtId="0" fontId="11" fillId="0" borderId="28" xfId="0" applyFont="1" applyBorder="1" applyAlignment="1">
      <alignment horizontal="center" vertical="center" shrinkToFit="1"/>
    </xf>
    <xf numFmtId="0" fontId="11" fillId="0" borderId="29" xfId="0" applyFont="1" applyBorder="1" applyAlignment="1">
      <alignment horizontal="center" vertical="center" shrinkToFit="1"/>
    </xf>
    <xf numFmtId="0" fontId="11" fillId="0" borderId="22" xfId="0" applyFont="1" applyBorder="1" applyAlignment="1" applyProtection="1">
      <alignment horizontal="center" vertical="center"/>
      <protection locked="0"/>
    </xf>
    <xf numFmtId="0" fontId="11" fillId="0" borderId="30" xfId="0" applyFont="1" applyBorder="1" applyAlignment="1" applyProtection="1">
      <alignment horizontal="center" vertical="center"/>
      <protection locked="0"/>
    </xf>
    <xf numFmtId="0" fontId="11" fillId="0" borderId="26" xfId="0" applyFont="1" applyBorder="1" applyAlignment="1" applyProtection="1">
      <alignment horizontal="center" vertical="center"/>
      <protection locked="0"/>
    </xf>
    <xf numFmtId="0" fontId="11" fillId="0" borderId="20" xfId="0" applyFont="1" applyBorder="1" applyAlignment="1" applyProtection="1">
      <alignment horizontal="center" vertical="center"/>
      <protection locked="0"/>
    </xf>
    <xf numFmtId="0" fontId="11" fillId="0" borderId="21" xfId="0" applyFont="1" applyBorder="1" applyAlignment="1" applyProtection="1">
      <alignment horizontal="center" vertical="center"/>
      <protection locked="0"/>
    </xf>
    <xf numFmtId="0" fontId="11" fillId="0" borderId="17" xfId="0" applyFont="1" applyBorder="1" applyAlignment="1" applyProtection="1">
      <alignment horizontal="center" vertical="center" shrinkToFit="1"/>
      <protection locked="0"/>
    </xf>
    <xf numFmtId="0" fontId="11" fillId="0" borderId="14" xfId="0" applyFont="1" applyBorder="1" applyAlignment="1" applyProtection="1">
      <alignment horizontal="center" vertical="center" shrinkToFit="1"/>
      <protection locked="0"/>
    </xf>
    <xf numFmtId="0" fontId="11" fillId="0" borderId="19" xfId="0" applyFont="1" applyBorder="1" applyAlignment="1" applyProtection="1">
      <alignment horizontal="center" vertical="center" shrinkToFit="1"/>
      <protection locked="0"/>
    </xf>
    <xf numFmtId="0" fontId="11" fillId="0" borderId="18" xfId="0" applyFont="1" applyBorder="1" applyAlignment="1" applyProtection="1">
      <alignment horizontal="center" vertical="center" shrinkToFit="1"/>
      <protection locked="0"/>
    </xf>
    <xf numFmtId="0" fontId="11" fillId="0" borderId="28" xfId="0" applyFont="1" applyBorder="1" applyAlignment="1" applyProtection="1">
      <alignment horizontal="center" vertical="center" shrinkToFit="1"/>
      <protection locked="0"/>
    </xf>
    <xf numFmtId="0" fontId="11" fillId="0" borderId="29" xfId="0" applyFont="1" applyBorder="1" applyAlignment="1" applyProtection="1">
      <alignment horizontal="center" vertical="center" shrinkToFit="1"/>
      <protection locked="0"/>
    </xf>
    <xf numFmtId="0" fontId="11" fillId="0" borderId="31" xfId="0" applyFont="1" applyBorder="1" applyProtection="1">
      <alignment vertical="center"/>
      <protection locked="0"/>
    </xf>
    <xf numFmtId="0" fontId="12" fillId="0" borderId="0" xfId="0" applyFont="1" applyAlignment="1" applyProtection="1">
      <alignment horizontal="righ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>
      <alignment vertical="center"/>
    </xf>
    <xf numFmtId="0" fontId="12" fillId="0" borderId="32" xfId="0" applyFont="1" applyBorder="1">
      <alignment vertical="center"/>
    </xf>
    <xf numFmtId="0" fontId="12" fillId="0" borderId="0" xfId="0" applyFont="1">
      <alignment vertical="center"/>
    </xf>
    <xf numFmtId="184" fontId="11" fillId="0" borderId="33" xfId="0" applyNumberFormat="1" applyFont="1" applyBorder="1" applyAlignment="1">
      <alignment horizontal="center" vertical="center"/>
    </xf>
    <xf numFmtId="184" fontId="11" fillId="0" borderId="8" xfId="0" applyNumberFormat="1" applyFont="1" applyBorder="1" applyAlignment="1">
      <alignment horizontal="center" vertical="center"/>
    </xf>
    <xf numFmtId="184" fontId="11" fillId="0" borderId="9" xfId="0" applyNumberFormat="1" applyFont="1" applyBorder="1" applyAlignment="1">
      <alignment horizontal="center" vertical="center"/>
    </xf>
    <xf numFmtId="184" fontId="11" fillId="0" borderId="34" xfId="0" applyNumberFormat="1" applyFont="1" applyBorder="1" applyAlignment="1">
      <alignment horizontal="center" vertical="center"/>
    </xf>
    <xf numFmtId="187" fontId="11" fillId="0" borderId="35" xfId="0" applyNumberFormat="1" applyFont="1" applyBorder="1" applyAlignment="1" applyProtection="1">
      <alignment horizontal="center" vertical="center" shrinkToFit="1"/>
      <protection locked="0"/>
    </xf>
    <xf numFmtId="187" fontId="11" fillId="0" borderId="36" xfId="0" applyNumberFormat="1" applyFont="1" applyBorder="1" applyAlignment="1" applyProtection="1">
      <alignment horizontal="center" vertical="center" shrinkToFit="1"/>
      <protection locked="0"/>
    </xf>
    <xf numFmtId="187" fontId="11" fillId="0" borderId="37" xfId="0" applyNumberFormat="1" applyFont="1" applyBorder="1" applyAlignment="1" applyProtection="1">
      <alignment horizontal="center" vertical="center" shrinkToFit="1"/>
      <protection locked="0"/>
    </xf>
    <xf numFmtId="187" fontId="11" fillId="0" borderId="38" xfId="0" applyNumberFormat="1" applyFont="1" applyBorder="1" applyAlignment="1" applyProtection="1">
      <alignment horizontal="center" vertical="center" shrinkToFit="1"/>
      <protection locked="0"/>
    </xf>
    <xf numFmtId="187" fontId="11" fillId="0" borderId="25" xfId="0" applyNumberFormat="1" applyFont="1" applyBorder="1" applyAlignment="1" applyProtection="1">
      <alignment horizontal="center" vertical="center" shrinkToFit="1"/>
      <protection locked="0"/>
    </xf>
    <xf numFmtId="187" fontId="11" fillId="0" borderId="39" xfId="0" applyNumberFormat="1" applyFont="1" applyBorder="1" applyAlignment="1" applyProtection="1">
      <alignment horizontal="center" vertical="center" shrinkToFit="1"/>
      <protection locked="0"/>
    </xf>
    <xf numFmtId="187" fontId="11" fillId="0" borderId="7" xfId="0" applyNumberFormat="1" applyFont="1" applyBorder="1" applyAlignment="1" applyProtection="1">
      <alignment horizontal="center" vertical="center" shrinkToFit="1"/>
      <protection locked="0"/>
    </xf>
    <xf numFmtId="187" fontId="11" fillId="0" borderId="40" xfId="0" applyNumberFormat="1" applyFont="1" applyBorder="1" applyAlignment="1" applyProtection="1">
      <alignment horizontal="center" vertical="center" shrinkToFit="1"/>
      <protection locked="0"/>
    </xf>
    <xf numFmtId="187" fontId="11" fillId="0" borderId="41" xfId="0" applyNumberFormat="1" applyFont="1" applyBorder="1" applyAlignment="1" applyProtection="1">
      <alignment horizontal="center" vertical="center" shrinkToFit="1"/>
      <protection locked="0"/>
    </xf>
    <xf numFmtId="187" fontId="11" fillId="0" borderId="42" xfId="0" applyNumberFormat="1" applyFont="1" applyBorder="1" applyAlignment="1" applyProtection="1">
      <alignment horizontal="center" vertical="center" shrinkToFit="1"/>
      <protection locked="0"/>
    </xf>
    <xf numFmtId="187" fontId="11" fillId="0" borderId="43" xfId="0" applyNumberFormat="1" applyFont="1" applyBorder="1" applyAlignment="1" applyProtection="1">
      <alignment horizontal="center" vertical="center" shrinkToFit="1"/>
      <protection locked="0"/>
    </xf>
    <xf numFmtId="187" fontId="11" fillId="0" borderId="44" xfId="0" applyNumberFormat="1" applyFont="1" applyBorder="1" applyAlignment="1" applyProtection="1">
      <alignment horizontal="center" vertical="center" shrinkToFit="1"/>
      <protection locked="0"/>
    </xf>
    <xf numFmtId="187" fontId="11" fillId="0" borderId="45" xfId="0" applyNumberFormat="1" applyFont="1" applyBorder="1" applyAlignment="1" applyProtection="1">
      <alignment horizontal="center" vertical="center" shrinkToFit="1"/>
      <protection locked="0"/>
    </xf>
    <xf numFmtId="187" fontId="11" fillId="0" borderId="10" xfId="0" applyNumberFormat="1" applyFont="1" applyBorder="1" applyAlignment="1" applyProtection="1">
      <alignment horizontal="center" vertical="center" shrinkToFit="1"/>
      <protection locked="0"/>
    </xf>
    <xf numFmtId="187" fontId="11" fillId="0" borderId="46" xfId="0" applyNumberFormat="1" applyFont="1" applyBorder="1" applyAlignment="1" applyProtection="1">
      <alignment horizontal="center" vertical="center" shrinkToFit="1"/>
      <protection locked="0"/>
    </xf>
    <xf numFmtId="187" fontId="11" fillId="0" borderId="47" xfId="0" applyNumberFormat="1" applyFont="1" applyBorder="1" applyAlignment="1" applyProtection="1">
      <alignment horizontal="center" vertical="center" shrinkToFit="1"/>
      <protection locked="0"/>
    </xf>
    <xf numFmtId="187" fontId="11" fillId="0" borderId="48" xfId="0" applyNumberFormat="1" applyFont="1" applyBorder="1" applyAlignment="1" applyProtection="1">
      <alignment horizontal="center" vertical="center" shrinkToFit="1"/>
      <protection locked="0"/>
    </xf>
    <xf numFmtId="187" fontId="11" fillId="0" borderId="1" xfId="0" applyNumberFormat="1" applyFont="1" applyBorder="1" applyAlignment="1" applyProtection="1">
      <alignment horizontal="center" vertical="center" shrinkToFit="1"/>
      <protection locked="0"/>
    </xf>
    <xf numFmtId="187" fontId="11" fillId="0" borderId="9" xfId="0" applyNumberFormat="1" applyFont="1" applyBorder="1" applyAlignment="1" applyProtection="1">
      <alignment horizontal="center" vertical="center" shrinkToFit="1"/>
      <protection locked="0"/>
    </xf>
    <xf numFmtId="187" fontId="11" fillId="0" borderId="11" xfId="0" applyNumberFormat="1" applyFont="1" applyBorder="1" applyAlignment="1" applyProtection="1">
      <alignment horizontal="center" vertical="center" shrinkToFit="1"/>
      <protection locked="0"/>
    </xf>
    <xf numFmtId="187" fontId="11" fillId="0" borderId="8" xfId="0" applyNumberFormat="1" applyFont="1" applyBorder="1" applyAlignment="1" applyProtection="1">
      <alignment horizontal="center" vertical="center" shrinkToFit="1"/>
      <protection locked="0"/>
    </xf>
    <xf numFmtId="187" fontId="11" fillId="0" borderId="49" xfId="0" applyNumberFormat="1" applyFont="1" applyBorder="1" applyAlignment="1" applyProtection="1">
      <alignment horizontal="center" vertical="center" shrinkToFit="1"/>
      <protection locked="0"/>
    </xf>
    <xf numFmtId="187" fontId="11" fillId="0" borderId="50" xfId="0" applyNumberFormat="1" applyFont="1" applyBorder="1" applyAlignment="1" applyProtection="1">
      <alignment horizontal="center" vertical="center" shrinkToFit="1"/>
      <protection locked="0"/>
    </xf>
    <xf numFmtId="187" fontId="11" fillId="0" borderId="12" xfId="0" applyNumberFormat="1" applyFont="1" applyBorder="1" applyAlignment="1" applyProtection="1">
      <alignment horizontal="center" vertical="center" shrinkToFit="1"/>
      <protection locked="0"/>
    </xf>
    <xf numFmtId="187" fontId="11" fillId="0" borderId="16" xfId="0" applyNumberFormat="1" applyFont="1" applyBorder="1" applyAlignment="1" applyProtection="1">
      <alignment horizontal="center" vertical="center" shrinkToFit="1"/>
      <protection locked="0"/>
    </xf>
    <xf numFmtId="187" fontId="11" fillId="0" borderId="15" xfId="0" applyNumberFormat="1" applyFont="1" applyBorder="1" applyAlignment="1" applyProtection="1">
      <alignment horizontal="center" vertical="center" shrinkToFit="1"/>
      <protection locked="0"/>
    </xf>
    <xf numFmtId="187" fontId="11" fillId="0" borderId="51" xfId="0" applyNumberFormat="1" applyFont="1" applyBorder="1" applyAlignment="1" applyProtection="1">
      <alignment horizontal="center" vertical="center" shrinkToFit="1"/>
      <protection locked="0"/>
    </xf>
    <xf numFmtId="187" fontId="11" fillId="0" borderId="52" xfId="0" applyNumberFormat="1" applyFont="1" applyBorder="1" applyAlignment="1" applyProtection="1">
      <alignment horizontal="center" vertical="center" shrinkToFit="1"/>
      <protection locked="0"/>
    </xf>
    <xf numFmtId="0" fontId="11" fillId="0" borderId="48" xfId="0" applyFont="1" applyBorder="1" applyAlignment="1" applyProtection="1">
      <alignment horizontal="center" vertical="center"/>
      <protection locked="0"/>
    </xf>
    <xf numFmtId="0" fontId="11" fillId="0" borderId="34" xfId="0" applyFont="1" applyBorder="1" applyAlignment="1" applyProtection="1">
      <alignment horizontal="center" vertical="center"/>
      <protection locked="0"/>
    </xf>
    <xf numFmtId="176" fontId="11" fillId="0" borderId="53" xfId="0" applyNumberFormat="1" applyFont="1" applyBorder="1" applyAlignment="1" applyProtection="1">
      <alignment horizontal="center" vertical="center"/>
      <protection locked="0"/>
    </xf>
    <xf numFmtId="0" fontId="11" fillId="0" borderId="54" xfId="0" applyFont="1" applyBorder="1" applyAlignment="1" applyProtection="1">
      <alignment horizontal="center" vertical="center"/>
      <protection locked="0"/>
    </xf>
    <xf numFmtId="49" fontId="11" fillId="0" borderId="44" xfId="0" applyNumberFormat="1" applyFont="1" applyBorder="1" applyAlignment="1" applyProtection="1">
      <alignment horizontal="center" vertical="center" shrinkToFit="1"/>
      <protection locked="0"/>
    </xf>
    <xf numFmtId="49" fontId="11" fillId="0" borderId="46" xfId="0" applyNumberFormat="1" applyFont="1" applyBorder="1" applyAlignment="1" applyProtection="1">
      <alignment horizontal="center" vertical="center" shrinkToFit="1"/>
      <protection locked="0"/>
    </xf>
    <xf numFmtId="49" fontId="11" fillId="0" borderId="55" xfId="0" applyNumberFormat="1" applyFont="1" applyBorder="1" applyAlignment="1" applyProtection="1">
      <alignment horizontal="center" vertical="center" shrinkToFit="1"/>
      <protection locked="0"/>
    </xf>
    <xf numFmtId="187" fontId="11" fillId="0" borderId="56" xfId="0" applyNumberFormat="1" applyFont="1" applyBorder="1" applyAlignment="1" applyProtection="1">
      <alignment horizontal="center" vertical="center" shrinkToFit="1"/>
      <protection locked="0"/>
    </xf>
    <xf numFmtId="187" fontId="11" fillId="0" borderId="57" xfId="0" applyNumberFormat="1" applyFont="1" applyBorder="1" applyAlignment="1" applyProtection="1">
      <alignment horizontal="center" vertical="center" shrinkToFit="1"/>
      <protection locked="0"/>
    </xf>
    <xf numFmtId="187" fontId="11" fillId="0" borderId="55" xfId="0" applyNumberFormat="1" applyFont="1" applyBorder="1" applyAlignment="1" applyProtection="1">
      <alignment horizontal="center" vertical="center" shrinkToFit="1"/>
      <protection locked="0"/>
    </xf>
    <xf numFmtId="187" fontId="11" fillId="0" borderId="58" xfId="0" applyNumberFormat="1" applyFont="1" applyBorder="1" applyAlignment="1" applyProtection="1">
      <alignment horizontal="center" vertical="center" shrinkToFit="1"/>
      <protection locked="0"/>
    </xf>
    <xf numFmtId="187" fontId="11" fillId="0" borderId="0" xfId="0" applyNumberFormat="1" applyFont="1" applyBorder="1" applyAlignment="1" applyProtection="1">
      <alignment horizontal="center" vertical="center" shrinkToFit="1"/>
      <protection locked="0"/>
    </xf>
    <xf numFmtId="176" fontId="11" fillId="0" borderId="59" xfId="0" applyNumberFormat="1" applyFont="1" applyBorder="1" applyAlignment="1" applyProtection="1">
      <alignment horizontal="center" vertical="center"/>
      <protection locked="0"/>
    </xf>
    <xf numFmtId="0" fontId="11" fillId="0" borderId="59" xfId="0" applyFont="1" applyBorder="1" applyAlignment="1" applyProtection="1">
      <alignment horizontal="center" vertical="center"/>
      <protection locked="0"/>
    </xf>
    <xf numFmtId="49" fontId="11" fillId="0" borderId="45" xfId="0" applyNumberFormat="1" applyFont="1" applyBorder="1" applyAlignment="1" applyProtection="1">
      <alignment horizontal="center" vertical="center" shrinkToFit="1"/>
      <protection locked="0"/>
    </xf>
    <xf numFmtId="187" fontId="11" fillId="0" borderId="60" xfId="0" applyNumberFormat="1" applyFont="1" applyBorder="1" applyAlignment="1" applyProtection="1">
      <alignment horizontal="center" vertical="center" shrinkToFit="1"/>
      <protection locked="0"/>
    </xf>
    <xf numFmtId="187" fontId="11" fillId="0" borderId="13" xfId="0" applyNumberFormat="1" applyFont="1" applyBorder="1" applyAlignment="1" applyProtection="1">
      <alignment horizontal="center" vertical="center" shrinkToFit="1"/>
      <protection locked="0"/>
    </xf>
    <xf numFmtId="187" fontId="11" fillId="0" borderId="61" xfId="0" applyNumberFormat="1" applyFont="1" applyBorder="1" applyAlignment="1" applyProtection="1">
      <alignment horizontal="center" vertical="center" shrinkToFit="1"/>
      <protection locked="0"/>
    </xf>
    <xf numFmtId="0" fontId="11" fillId="0" borderId="62" xfId="0" applyFont="1" applyBorder="1" applyAlignment="1" applyProtection="1">
      <alignment horizontal="center" vertical="center"/>
      <protection locked="0"/>
    </xf>
    <xf numFmtId="0" fontId="11" fillId="0" borderId="63" xfId="0" applyFont="1" applyBorder="1" applyAlignment="1" applyProtection="1">
      <alignment horizontal="center" vertical="center"/>
      <protection locked="0"/>
    </xf>
    <xf numFmtId="187" fontId="11" fillId="0" borderId="64" xfId="0" applyNumberFormat="1" applyFont="1" applyBorder="1" applyAlignment="1" applyProtection="1">
      <alignment horizontal="center" vertical="center" shrinkToFit="1"/>
      <protection locked="0"/>
    </xf>
    <xf numFmtId="187" fontId="11" fillId="0" borderId="65" xfId="0" applyNumberFormat="1" applyFont="1" applyBorder="1" applyAlignment="1" applyProtection="1">
      <alignment horizontal="center" vertical="center" shrinkToFit="1"/>
      <protection locked="0"/>
    </xf>
    <xf numFmtId="176" fontId="11" fillId="0" borderId="66" xfId="0" applyNumberFormat="1" applyFont="1" applyBorder="1" applyAlignment="1" applyProtection="1">
      <alignment horizontal="center" vertical="center"/>
      <protection locked="0"/>
    </xf>
    <xf numFmtId="0" fontId="11" fillId="0" borderId="67" xfId="0" applyFont="1" applyBorder="1" applyAlignment="1" applyProtection="1">
      <alignment horizontal="center" vertical="center"/>
      <protection locked="0"/>
    </xf>
    <xf numFmtId="176" fontId="11" fillId="0" borderId="49" xfId="0" applyNumberFormat="1" applyFont="1" applyBorder="1" applyAlignment="1" applyProtection="1">
      <alignment horizontal="center" vertical="center"/>
      <protection locked="0"/>
    </xf>
    <xf numFmtId="176" fontId="11" fillId="0" borderId="68" xfId="0" applyNumberFormat="1" applyFont="1" applyBorder="1" applyAlignment="1" applyProtection="1">
      <alignment horizontal="center" vertical="center"/>
      <protection locked="0"/>
    </xf>
    <xf numFmtId="0" fontId="11" fillId="0" borderId="69" xfId="0" applyFont="1" applyBorder="1" applyAlignment="1" applyProtection="1">
      <alignment horizontal="center" vertical="center"/>
      <protection locked="0"/>
    </xf>
    <xf numFmtId="49" fontId="11" fillId="0" borderId="34" xfId="0" applyNumberFormat="1" applyFont="1" applyBorder="1" applyAlignment="1" applyProtection="1">
      <alignment horizontal="center" vertical="center" shrinkToFit="1"/>
      <protection locked="0"/>
    </xf>
    <xf numFmtId="49" fontId="11" fillId="0" borderId="69" xfId="0" applyNumberFormat="1" applyFont="1" applyBorder="1" applyAlignment="1" applyProtection="1">
      <alignment horizontal="center" vertical="center" shrinkToFit="1"/>
      <protection locked="0"/>
    </xf>
    <xf numFmtId="0" fontId="11" fillId="0" borderId="70" xfId="0" applyFont="1" applyBorder="1" applyAlignment="1" applyProtection="1">
      <alignment horizontal="center" vertical="center"/>
      <protection locked="0"/>
    </xf>
    <xf numFmtId="49" fontId="11" fillId="0" borderId="64" xfId="0" applyNumberFormat="1" applyFont="1" applyBorder="1" applyAlignment="1" applyProtection="1">
      <alignment horizontal="center" vertical="center" shrinkToFit="1"/>
      <protection locked="0"/>
    </xf>
    <xf numFmtId="49" fontId="11" fillId="0" borderId="65" xfId="0" applyNumberFormat="1" applyFont="1" applyBorder="1" applyAlignment="1" applyProtection="1">
      <alignment horizontal="center" vertical="center" shrinkToFit="1"/>
      <protection locked="0"/>
    </xf>
    <xf numFmtId="49" fontId="15" fillId="0" borderId="0" xfId="0" applyNumberFormat="1" applyFont="1">
      <alignment vertical="center"/>
    </xf>
    <xf numFmtId="0" fontId="0" fillId="0" borderId="0" xfId="0" applyFont="1">
      <alignment vertical="center"/>
    </xf>
    <xf numFmtId="49" fontId="8" fillId="0" borderId="0" xfId="0" applyNumberFormat="1" applyFont="1">
      <alignment vertical="center"/>
    </xf>
    <xf numFmtId="49" fontId="7" fillId="0" borderId="0" xfId="0" applyNumberFormat="1" applyFont="1" applyAlignment="1">
      <alignment horizontal="right" vertical="center"/>
    </xf>
    <xf numFmtId="49" fontId="15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right" vertical="center"/>
    </xf>
    <xf numFmtId="0" fontId="0" fillId="0" borderId="0" xfId="1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 shrinkToFit="1"/>
    </xf>
    <xf numFmtId="49" fontId="11" fillId="0" borderId="0" xfId="0" applyNumberFormat="1" applyFont="1" applyAlignment="1">
      <alignment horizontal="right" vertical="center"/>
    </xf>
    <xf numFmtId="49" fontId="15" fillId="0" borderId="0" xfId="0" applyNumberFormat="1" applyFont="1" applyAlignment="1" applyProtection="1">
      <alignment horizontal="center" vertical="center" shrinkToFit="1"/>
      <protection locked="0"/>
    </xf>
    <xf numFmtId="49" fontId="8" fillId="0" borderId="0" xfId="0" applyNumberFormat="1" applyFont="1" applyAlignment="1" applyProtection="1">
      <alignment vertical="center" shrinkToFit="1"/>
      <protection locked="0"/>
    </xf>
    <xf numFmtId="49" fontId="11" fillId="0" borderId="71" xfId="0" applyNumberFormat="1" applyFont="1" applyBorder="1">
      <alignment vertical="center"/>
    </xf>
    <xf numFmtId="49" fontId="11" fillId="0" borderId="72" xfId="0" applyNumberFormat="1" applyFont="1" applyBorder="1">
      <alignment vertical="center"/>
    </xf>
    <xf numFmtId="49" fontId="11" fillId="0" borderId="73" xfId="0" applyNumberFormat="1" applyFont="1" applyBorder="1">
      <alignment vertical="center"/>
    </xf>
    <xf numFmtId="49" fontId="11" fillId="0" borderId="74" xfId="0" applyNumberFormat="1" applyFont="1" applyBorder="1">
      <alignment vertical="center"/>
    </xf>
    <xf numFmtId="49" fontId="11" fillId="0" borderId="43" xfId="0" applyNumberFormat="1" applyFont="1" applyBorder="1" applyAlignment="1">
      <alignment horizontal="center" vertical="center"/>
    </xf>
    <xf numFmtId="49" fontId="11" fillId="0" borderId="43" xfId="0" applyNumberFormat="1" applyFont="1" applyBorder="1">
      <alignment vertical="center"/>
    </xf>
    <xf numFmtId="49" fontId="11" fillId="0" borderId="54" xfId="0" applyNumberFormat="1" applyFont="1" applyBorder="1">
      <alignment vertical="center"/>
    </xf>
    <xf numFmtId="49" fontId="11" fillId="0" borderId="53" xfId="0" applyNumberFormat="1" applyFont="1" applyBorder="1" applyAlignment="1">
      <alignment horizontal="center" vertical="center"/>
    </xf>
    <xf numFmtId="49" fontId="11" fillId="0" borderId="75" xfId="0" applyNumberFormat="1" applyFont="1" applyBorder="1" applyAlignment="1">
      <alignment horizontal="center" vertical="center"/>
    </xf>
    <xf numFmtId="49" fontId="11" fillId="0" borderId="57" xfId="0" applyNumberFormat="1" applyFont="1" applyBorder="1" applyAlignment="1">
      <alignment horizontal="center" vertical="center"/>
    </xf>
    <xf numFmtId="49" fontId="11" fillId="0" borderId="63" xfId="0" applyNumberFormat="1" applyFont="1" applyBorder="1" applyAlignment="1">
      <alignment horizontal="center" vertical="center"/>
    </xf>
    <xf numFmtId="49" fontId="11" fillId="0" borderId="59" xfId="0" applyNumberFormat="1" applyFont="1" applyBorder="1" applyAlignment="1">
      <alignment horizontal="center" vertical="center"/>
    </xf>
    <xf numFmtId="49" fontId="11" fillId="0" borderId="76" xfId="0" applyNumberFormat="1" applyFont="1" applyBorder="1">
      <alignment vertical="center"/>
    </xf>
    <xf numFmtId="49" fontId="11" fillId="0" borderId="36" xfId="0" applyNumberFormat="1" applyFont="1" applyBorder="1">
      <alignment vertical="center"/>
    </xf>
    <xf numFmtId="49" fontId="11" fillId="0" borderId="39" xfId="0" applyNumberFormat="1" applyFont="1" applyBorder="1" applyAlignment="1">
      <alignment horizontal="right" vertical="center"/>
    </xf>
    <xf numFmtId="49" fontId="11" fillId="0" borderId="24" xfId="0" applyNumberFormat="1" applyFont="1" applyBorder="1" applyAlignment="1">
      <alignment horizontal="center" vertical="center"/>
    </xf>
    <xf numFmtId="49" fontId="11" fillId="0" borderId="39" xfId="0" applyNumberFormat="1" applyFont="1" applyBorder="1" applyAlignment="1">
      <alignment horizontal="center" vertical="center"/>
    </xf>
    <xf numFmtId="49" fontId="11" fillId="0" borderId="75" xfId="0" applyNumberFormat="1" applyFont="1" applyBorder="1">
      <alignment vertical="center"/>
    </xf>
    <xf numFmtId="49" fontId="11" fillId="0" borderId="0" xfId="0" applyNumberFormat="1" applyFont="1" applyProtection="1">
      <alignment vertical="center"/>
      <protection locked="0"/>
    </xf>
    <xf numFmtId="49" fontId="0" fillId="0" borderId="0" xfId="0" applyNumberFormat="1" applyFont="1" applyProtection="1">
      <alignment vertical="center"/>
      <protection locked="0"/>
    </xf>
    <xf numFmtId="49" fontId="8" fillId="0" borderId="47" xfId="0" applyNumberFormat="1" applyFont="1" applyBorder="1" applyProtection="1">
      <alignment vertical="center"/>
      <protection locked="0"/>
    </xf>
    <xf numFmtId="49" fontId="0" fillId="0" borderId="47" xfId="0" applyNumberFormat="1" applyFont="1" applyBorder="1" applyProtection="1">
      <alignment vertical="center"/>
      <protection locked="0"/>
    </xf>
    <xf numFmtId="0" fontId="0" fillId="0" borderId="47" xfId="0" applyFont="1" applyBorder="1">
      <alignment vertical="center"/>
    </xf>
    <xf numFmtId="49" fontId="8" fillId="0" borderId="0" xfId="0" applyNumberFormat="1" applyFont="1" applyAlignment="1" applyProtection="1">
      <alignment horizontal="center" vertical="center"/>
      <protection locked="0"/>
    </xf>
    <xf numFmtId="49" fontId="11" fillId="0" borderId="63" xfId="0" applyNumberFormat="1" applyFont="1" applyBorder="1" applyProtection="1">
      <alignment vertical="center"/>
      <protection locked="0"/>
    </xf>
    <xf numFmtId="49" fontId="11" fillId="0" borderId="75" xfId="0" applyNumberFormat="1" applyFont="1" applyBorder="1" applyProtection="1">
      <alignment vertical="center"/>
      <protection locked="0"/>
    </xf>
    <xf numFmtId="49" fontId="8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49" fontId="11" fillId="0" borderId="76" xfId="0" applyNumberFormat="1" applyFont="1" applyBorder="1" applyProtection="1">
      <alignment vertical="center"/>
      <protection locked="0"/>
    </xf>
    <xf numFmtId="49" fontId="11" fillId="0" borderId="25" xfId="0" applyNumberFormat="1" applyFont="1" applyBorder="1" applyProtection="1">
      <alignment vertical="center"/>
      <protection locked="0"/>
    </xf>
    <xf numFmtId="0" fontId="0" fillId="0" borderId="25" xfId="0" applyFont="1" applyBorder="1" applyAlignment="1">
      <alignment horizontal="right" vertical="center"/>
    </xf>
    <xf numFmtId="0" fontId="0" fillId="0" borderId="25" xfId="0" applyFont="1" applyBorder="1">
      <alignment vertical="center"/>
    </xf>
    <xf numFmtId="49" fontId="11" fillId="0" borderId="39" xfId="0" applyNumberFormat="1" applyFont="1" applyBorder="1" applyProtection="1">
      <alignment vertical="center"/>
      <protection locked="0"/>
    </xf>
    <xf numFmtId="0" fontId="8" fillId="2" borderId="24" xfId="0" applyFont="1" applyFill="1" applyBorder="1" applyAlignment="1" applyProtection="1">
      <alignment horizontal="center" vertical="center"/>
      <protection locked="0"/>
    </xf>
    <xf numFmtId="0" fontId="0" fillId="0" borderId="0" xfId="0" applyFont="1" applyAlignment="1">
      <alignment horizontal="left" vertical="center"/>
    </xf>
    <xf numFmtId="49" fontId="11" fillId="0" borderId="50" xfId="0" applyNumberFormat="1" applyFont="1" applyBorder="1" applyAlignment="1" applyProtection="1">
      <alignment horizontal="center" vertical="center" shrinkToFit="1"/>
      <protection locked="0"/>
    </xf>
    <xf numFmtId="0" fontId="11" fillId="0" borderId="24" xfId="0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0" xfId="0" applyNumberFormat="1" applyFont="1" applyAlignment="1" applyProtection="1">
      <alignment horizontal="center" vertical="center" shrinkToFit="1"/>
      <protection locked="0"/>
    </xf>
    <xf numFmtId="49" fontId="8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right" vertical="center"/>
    </xf>
    <xf numFmtId="49" fontId="11" fillId="0" borderId="72" xfId="0" applyNumberFormat="1" applyFont="1" applyBorder="1" applyAlignment="1">
      <alignment horizontal="center" vertical="center" wrapText="1"/>
    </xf>
    <xf numFmtId="49" fontId="11" fillId="0" borderId="57" xfId="0" applyNumberFormat="1" applyFont="1" applyBorder="1" applyAlignment="1">
      <alignment horizontal="center" vertical="center"/>
    </xf>
    <xf numFmtId="49" fontId="11" fillId="0" borderId="36" xfId="0" applyNumberFormat="1" applyFont="1" applyBorder="1" applyAlignment="1">
      <alignment horizontal="center" vertical="center"/>
    </xf>
    <xf numFmtId="49" fontId="11" fillId="0" borderId="25" xfId="0" applyNumberFormat="1" applyFont="1" applyBorder="1" applyAlignment="1" applyProtection="1">
      <alignment horizontal="center" vertical="center" shrinkToFit="1"/>
      <protection locked="0"/>
    </xf>
    <xf numFmtId="49" fontId="7" fillId="0" borderId="47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 shrinkToFit="1"/>
      <protection locked="0"/>
    </xf>
    <xf numFmtId="0" fontId="11" fillId="0" borderId="0" xfId="0" applyFont="1" applyAlignment="1" applyProtection="1">
      <alignment horizontal="center" vertical="center" shrinkToFit="1"/>
      <protection locked="0"/>
    </xf>
    <xf numFmtId="49" fontId="12" fillId="0" borderId="77" xfId="0" applyNumberFormat="1" applyFont="1" applyBorder="1" applyAlignment="1">
      <alignment horizontal="center" vertical="center"/>
    </xf>
    <xf numFmtId="49" fontId="12" fillId="0" borderId="32" xfId="0" applyNumberFormat="1" applyFont="1" applyBorder="1" applyAlignment="1">
      <alignment horizontal="center" vertical="center"/>
    </xf>
    <xf numFmtId="49" fontId="12" fillId="0" borderId="78" xfId="0" applyNumberFormat="1" applyFont="1" applyBorder="1" applyAlignment="1">
      <alignment horizontal="center" vertical="center"/>
    </xf>
    <xf numFmtId="49" fontId="12" fillId="0" borderId="79" xfId="0" applyNumberFormat="1" applyFont="1" applyBorder="1" applyAlignment="1">
      <alignment horizontal="center" vertical="center"/>
    </xf>
    <xf numFmtId="49" fontId="12" fillId="0" borderId="80" xfId="0" applyNumberFormat="1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81" xfId="0" applyFont="1" applyBorder="1" applyAlignment="1">
      <alignment horizontal="center" vertical="center"/>
    </xf>
    <xf numFmtId="0" fontId="12" fillId="0" borderId="79" xfId="0" applyFont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</cellXfs>
  <cellStyles count="2">
    <cellStyle name="標準" xfId="0" builtinId="0"/>
    <cellStyle name="標準_rakuraku" xfId="1" xr:uid="{45C9A4EC-56A2-4554-9212-3353D45497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5</xdr:row>
          <xdr:rowOff>6350</xdr:rowOff>
        </xdr:from>
        <xdr:to>
          <xdr:col>3</xdr:col>
          <xdr:colOff>254000</xdr:colOff>
          <xdr:row>5</xdr:row>
          <xdr:rowOff>215900</xdr:rowOff>
        </xdr:to>
        <xdr:sp macro="" textlink="">
          <xdr:nvSpPr>
            <xdr:cNvPr id="17409" name="Check Box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50E75F0-9FD3-DFA3-3AD3-BA0429F846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44450</xdr:colOff>
          <xdr:row>6</xdr:row>
          <xdr:rowOff>12700</xdr:rowOff>
        </xdr:from>
        <xdr:to>
          <xdr:col>3</xdr:col>
          <xdr:colOff>254000</xdr:colOff>
          <xdr:row>6</xdr:row>
          <xdr:rowOff>222250</xdr:rowOff>
        </xdr:to>
        <xdr:sp macro="" textlink="">
          <xdr:nvSpPr>
            <xdr:cNvPr id="17410" name="Check Box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51B2FDCD-6E43-528A-61FE-F95BE63BED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44450</xdr:colOff>
          <xdr:row>5</xdr:row>
          <xdr:rowOff>6350</xdr:rowOff>
        </xdr:from>
        <xdr:to>
          <xdr:col>10</xdr:col>
          <xdr:colOff>0</xdr:colOff>
          <xdr:row>5</xdr:row>
          <xdr:rowOff>215900</xdr:rowOff>
        </xdr:to>
        <xdr:sp macro="" textlink="">
          <xdr:nvSpPr>
            <xdr:cNvPr id="17411" name="Check Box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9BF5347A-06B4-0D29-A186-06F33FF63C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44450</xdr:colOff>
          <xdr:row>6</xdr:row>
          <xdr:rowOff>6350</xdr:rowOff>
        </xdr:from>
        <xdr:to>
          <xdr:col>10</xdr:col>
          <xdr:colOff>6350</xdr:colOff>
          <xdr:row>6</xdr:row>
          <xdr:rowOff>215900</xdr:rowOff>
        </xdr:to>
        <xdr:sp macro="" textlink="">
          <xdr:nvSpPr>
            <xdr:cNvPr id="17412" name="Check Box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5BF84AF2-860F-9B19-33D0-35DF90829E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44450</xdr:colOff>
          <xdr:row>5</xdr:row>
          <xdr:rowOff>12700</xdr:rowOff>
        </xdr:from>
        <xdr:to>
          <xdr:col>16</xdr:col>
          <xdr:colOff>0</xdr:colOff>
          <xdr:row>5</xdr:row>
          <xdr:rowOff>222250</xdr:rowOff>
        </xdr:to>
        <xdr:sp macro="" textlink="">
          <xdr:nvSpPr>
            <xdr:cNvPr id="17413" name="Check Box 5" hidden="1">
              <a:extLst>
                <a:ext uri="{63B3BB69-23CF-44E3-9099-C40C66FF867C}">
                  <a14:compatExt spid="_x0000_s17413"/>
                </a:ext>
                <a:ext uri="{FF2B5EF4-FFF2-40B4-BE49-F238E27FC236}">
                  <a16:creationId xmlns:a16="http://schemas.microsoft.com/office/drawing/2014/main" id="{211541A2-3004-DB5A-539B-409B9129D0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E74B2-FBD5-41BD-8D7D-AA547A8E9F5F}">
  <sheetPr codeName="Sheet2">
    <pageSetUpPr fitToPage="1"/>
  </sheetPr>
  <dimension ref="A1:AN41"/>
  <sheetViews>
    <sheetView tabSelected="1" view="pageBreakPreview" zoomScaleNormal="100" zoomScaleSheetLayoutView="100" workbookViewId="0">
      <selection activeCell="V21" sqref="V21"/>
    </sheetView>
  </sheetViews>
  <sheetFormatPr defaultRowHeight="13" x14ac:dyDescent="0.2"/>
  <cols>
    <col min="1" max="1" width="12.453125" customWidth="1"/>
    <col min="2" max="3" width="5" customWidth="1"/>
    <col min="4" max="4" width="15" customWidth="1"/>
    <col min="5" max="35" width="2.90625" customWidth="1"/>
    <col min="36" max="38" width="6.6328125" customWidth="1"/>
    <col min="39" max="39" width="11.08984375" customWidth="1"/>
  </cols>
  <sheetData>
    <row r="1" spans="1:39" ht="22" customHeight="1" x14ac:dyDescent="0.2">
      <c r="A1" s="133" t="s">
        <v>0</v>
      </c>
      <c r="B1" s="133"/>
      <c r="C1" s="47"/>
      <c r="D1" s="47"/>
      <c r="E1" s="47"/>
      <c r="F1" s="134"/>
      <c r="G1" s="30" t="s">
        <v>76</v>
      </c>
      <c r="H1" s="182" t="s">
        <v>92</v>
      </c>
      <c r="I1" s="182"/>
      <c r="J1" s="182"/>
      <c r="K1" s="37" t="s">
        <v>55</v>
      </c>
      <c r="L1" s="182">
        <v>1</v>
      </c>
      <c r="M1" s="182"/>
      <c r="N1" s="135" t="s">
        <v>77</v>
      </c>
      <c r="O1" s="47"/>
      <c r="P1" s="47"/>
      <c r="Q1" s="47"/>
      <c r="R1" s="47"/>
      <c r="S1" s="47"/>
      <c r="T1" s="136" t="s">
        <v>1</v>
      </c>
      <c r="U1" s="137" t="s">
        <v>2</v>
      </c>
      <c r="V1" s="183" t="s">
        <v>3</v>
      </c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33" t="s">
        <v>4</v>
      </c>
      <c r="AM1" s="138"/>
    </row>
    <row r="2" spans="1:39" ht="22" customHeight="1" x14ac:dyDescent="0.2">
      <c r="A2" s="47"/>
      <c r="B2" s="47"/>
      <c r="C2" s="38"/>
      <c r="D2" s="47"/>
      <c r="E2" s="47"/>
      <c r="F2" s="134"/>
      <c r="G2" s="134"/>
      <c r="H2" s="134"/>
      <c r="I2" s="134"/>
      <c r="J2" s="134"/>
      <c r="K2" s="134"/>
      <c r="L2" s="134"/>
      <c r="M2" s="134"/>
      <c r="N2" s="47"/>
      <c r="O2" s="47"/>
      <c r="P2" s="47"/>
      <c r="Q2" s="47"/>
      <c r="R2" s="47"/>
      <c r="S2" s="47"/>
      <c r="T2" s="136" t="s">
        <v>5</v>
      </c>
      <c r="U2" s="137" t="s">
        <v>2</v>
      </c>
      <c r="V2" s="184" t="s">
        <v>78</v>
      </c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33" t="s">
        <v>4</v>
      </c>
      <c r="AM2" s="47"/>
    </row>
    <row r="3" spans="1:39" ht="20.25" customHeight="1" x14ac:dyDescent="0.2">
      <c r="A3" s="47"/>
      <c r="B3" s="47"/>
      <c r="C3" s="38"/>
      <c r="D3" s="39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/>
      <c r="L3" s="47"/>
      <c r="M3" s="139"/>
      <c r="N3" s="41"/>
      <c r="O3" s="41"/>
      <c r="P3" s="41"/>
      <c r="Q3" s="41"/>
      <c r="R3" s="41"/>
      <c r="S3" s="47"/>
      <c r="T3" s="136" t="s">
        <v>13</v>
      </c>
      <c r="U3" s="137" t="s">
        <v>2</v>
      </c>
      <c r="V3" s="185" t="s">
        <v>81</v>
      </c>
      <c r="W3" s="185"/>
      <c r="X3" s="39" t="s">
        <v>14</v>
      </c>
      <c r="Y3" s="185" t="s">
        <v>82</v>
      </c>
      <c r="Z3" s="185"/>
      <c r="AA3" s="39" t="s">
        <v>15</v>
      </c>
      <c r="AB3" s="185" t="s">
        <v>83</v>
      </c>
      <c r="AC3" s="185"/>
      <c r="AD3" s="39" t="s">
        <v>14</v>
      </c>
      <c r="AE3" s="185" t="s">
        <v>82</v>
      </c>
      <c r="AF3" s="185"/>
      <c r="AG3" s="140"/>
      <c r="AH3" s="140"/>
      <c r="AI3" s="140"/>
      <c r="AJ3" s="133" t="s">
        <v>4</v>
      </c>
      <c r="AK3" s="134"/>
      <c r="AL3" s="141"/>
      <c r="AM3" s="133"/>
    </row>
    <row r="4" spans="1:39" ht="10" customHeight="1" x14ac:dyDescent="0.2">
      <c r="A4" s="47"/>
      <c r="B4" s="47"/>
      <c r="C4" s="38"/>
      <c r="D4" s="43"/>
      <c r="E4" s="140"/>
      <c r="F4" s="2"/>
      <c r="G4" s="2"/>
      <c r="H4" s="2"/>
      <c r="I4" s="2"/>
      <c r="J4" s="2"/>
      <c r="K4" s="2"/>
      <c r="L4" s="2"/>
      <c r="M4" s="139"/>
      <c r="N4" s="44"/>
      <c r="O4" s="44"/>
      <c r="P4" s="44"/>
      <c r="Q4" s="44"/>
      <c r="R4" s="41"/>
      <c r="S4" s="44"/>
      <c r="T4" s="44"/>
      <c r="U4" s="44"/>
      <c r="V4" s="44"/>
      <c r="W4" s="44"/>
      <c r="X4" s="44"/>
      <c r="Y4" s="44"/>
      <c r="Z4" s="44"/>
      <c r="AA4" s="44"/>
      <c r="AB4" s="44"/>
      <c r="AC4" s="45"/>
      <c r="AD4" s="179"/>
      <c r="AE4" s="134"/>
      <c r="AF4" s="134"/>
      <c r="AG4" s="134"/>
      <c r="AH4" s="134"/>
      <c r="AI4" s="134"/>
      <c r="AJ4" s="134"/>
      <c r="AK4" s="134"/>
      <c r="AL4" s="141"/>
      <c r="AM4" s="133"/>
    </row>
    <row r="5" spans="1:39" ht="18" customHeight="1" x14ac:dyDescent="0.2">
      <c r="A5" s="46" t="s">
        <v>67</v>
      </c>
      <c r="B5" s="36"/>
      <c r="C5" s="38"/>
      <c r="D5" s="43"/>
      <c r="E5" s="42"/>
      <c r="F5" s="2"/>
      <c r="G5" s="2"/>
      <c r="H5" s="2"/>
      <c r="I5" s="2"/>
      <c r="J5" s="2"/>
      <c r="K5" s="2"/>
      <c r="L5" s="2"/>
      <c r="M5" s="40"/>
      <c r="N5" s="44"/>
      <c r="O5" s="44"/>
      <c r="P5" s="44"/>
      <c r="Q5" s="44"/>
      <c r="R5" s="41"/>
      <c r="S5" s="44"/>
      <c r="T5" s="44"/>
      <c r="U5" s="44"/>
      <c r="V5" s="44"/>
      <c r="W5" s="44"/>
      <c r="X5" s="44"/>
      <c r="Y5" s="44"/>
      <c r="Z5" s="44"/>
      <c r="AA5" s="44"/>
      <c r="AB5" s="44"/>
      <c r="AC5" s="45"/>
      <c r="AD5" s="3"/>
      <c r="AL5" s="1"/>
      <c r="AM5" s="35"/>
    </row>
    <row r="6" spans="1:39" ht="18" customHeight="1" x14ac:dyDescent="0.2">
      <c r="A6" s="47"/>
      <c r="B6" s="142" t="s">
        <v>16</v>
      </c>
      <c r="C6" s="186" t="s">
        <v>17</v>
      </c>
      <c r="D6" s="186"/>
      <c r="E6" s="47"/>
      <c r="F6" s="47"/>
      <c r="G6" s="47"/>
      <c r="H6" s="186" t="s">
        <v>18</v>
      </c>
      <c r="I6" s="186"/>
      <c r="J6" s="186"/>
      <c r="K6" s="186"/>
      <c r="L6" s="186"/>
      <c r="M6" s="186"/>
      <c r="N6" s="186" t="s">
        <v>66</v>
      </c>
      <c r="O6" s="186"/>
      <c r="P6" s="186"/>
      <c r="Q6" s="186"/>
      <c r="R6" s="186"/>
      <c r="S6" s="186"/>
      <c r="T6" s="186"/>
      <c r="U6" s="47"/>
      <c r="V6" s="47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33"/>
      <c r="AK6" s="47"/>
      <c r="AL6" s="47"/>
      <c r="AM6" s="47"/>
    </row>
    <row r="7" spans="1:39" ht="18" customHeight="1" thickBot="1" x14ac:dyDescent="0.25">
      <c r="A7" s="47"/>
      <c r="B7" s="142" t="s">
        <v>19</v>
      </c>
      <c r="C7" s="186" t="s">
        <v>20</v>
      </c>
      <c r="D7" s="186"/>
      <c r="E7" s="186"/>
      <c r="F7" s="186"/>
      <c r="G7" s="186"/>
      <c r="H7" s="186" t="s">
        <v>18</v>
      </c>
      <c r="I7" s="186"/>
      <c r="J7" s="186"/>
      <c r="K7" s="186"/>
      <c r="L7" s="186"/>
      <c r="M7" s="186"/>
      <c r="N7" s="47"/>
      <c r="O7" s="47"/>
      <c r="P7" s="47"/>
      <c r="Q7" s="47"/>
      <c r="R7" s="47"/>
      <c r="S7" s="47"/>
      <c r="T7" s="47"/>
      <c r="U7" s="137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3"/>
      <c r="AG7" s="143"/>
      <c r="AH7" s="143"/>
      <c r="AI7" s="143"/>
      <c r="AJ7" s="133"/>
      <c r="AK7" s="47"/>
      <c r="AL7" s="47"/>
      <c r="AM7" s="47"/>
    </row>
    <row r="8" spans="1:39" ht="20.25" customHeight="1" x14ac:dyDescent="0.2">
      <c r="A8" s="145"/>
      <c r="B8" s="146"/>
      <c r="C8" s="187" t="s">
        <v>21</v>
      </c>
      <c r="D8" s="147"/>
      <c r="E8" s="145"/>
      <c r="F8" s="148"/>
      <c r="G8" s="148"/>
      <c r="H8" s="149" t="s">
        <v>22</v>
      </c>
      <c r="I8" s="148"/>
      <c r="J8" s="148"/>
      <c r="K8" s="147"/>
      <c r="L8" s="145"/>
      <c r="M8" s="148"/>
      <c r="N8" s="148"/>
      <c r="O8" s="149" t="s">
        <v>23</v>
      </c>
      <c r="P8" s="148"/>
      <c r="Q8" s="148"/>
      <c r="R8" s="147"/>
      <c r="S8" s="148"/>
      <c r="T8" s="148"/>
      <c r="U8" s="148"/>
      <c r="V8" s="149" t="s">
        <v>24</v>
      </c>
      <c r="W8" s="148"/>
      <c r="X8" s="148"/>
      <c r="Y8" s="147"/>
      <c r="Z8" s="145"/>
      <c r="AA8" s="148"/>
      <c r="AB8" s="148"/>
      <c r="AC8" s="149" t="s">
        <v>25</v>
      </c>
      <c r="AD8" s="148"/>
      <c r="AE8" s="148"/>
      <c r="AF8" s="147"/>
      <c r="AG8" s="150"/>
      <c r="AH8" s="149" t="s">
        <v>93</v>
      </c>
      <c r="AI8" s="151"/>
      <c r="AJ8" s="152" t="s">
        <v>86</v>
      </c>
      <c r="AK8" s="152" t="s">
        <v>26</v>
      </c>
      <c r="AL8" s="152" t="s">
        <v>27</v>
      </c>
      <c r="AM8" s="152" t="s">
        <v>28</v>
      </c>
    </row>
    <row r="9" spans="1:39" ht="20.25" customHeight="1" x14ac:dyDescent="0.2">
      <c r="A9" s="153" t="s">
        <v>29</v>
      </c>
      <c r="B9" s="154" t="s">
        <v>30</v>
      </c>
      <c r="C9" s="188"/>
      <c r="D9" s="155" t="s">
        <v>31</v>
      </c>
      <c r="E9" s="69">
        <v>46023</v>
      </c>
      <c r="F9" s="71">
        <v>46024</v>
      </c>
      <c r="G9" s="71">
        <v>46025</v>
      </c>
      <c r="H9" s="71">
        <v>46026</v>
      </c>
      <c r="I9" s="71">
        <v>46027</v>
      </c>
      <c r="J9" s="71">
        <v>46028</v>
      </c>
      <c r="K9" s="70">
        <v>46029</v>
      </c>
      <c r="L9" s="69">
        <v>46030</v>
      </c>
      <c r="M9" s="71">
        <v>46031</v>
      </c>
      <c r="N9" s="71">
        <v>46032</v>
      </c>
      <c r="O9" s="71">
        <v>46033</v>
      </c>
      <c r="P9" s="71">
        <v>46034</v>
      </c>
      <c r="Q9" s="71">
        <v>46035</v>
      </c>
      <c r="R9" s="70">
        <v>46036</v>
      </c>
      <c r="S9" s="69">
        <v>46037</v>
      </c>
      <c r="T9" s="71">
        <v>46038</v>
      </c>
      <c r="U9" s="71">
        <v>46039</v>
      </c>
      <c r="V9" s="71">
        <v>46040</v>
      </c>
      <c r="W9" s="71">
        <v>46041</v>
      </c>
      <c r="X9" s="71">
        <v>46042</v>
      </c>
      <c r="Y9" s="70">
        <v>46043</v>
      </c>
      <c r="Z9" s="69">
        <v>46044</v>
      </c>
      <c r="AA9" s="71">
        <v>46045</v>
      </c>
      <c r="AB9" s="71">
        <v>46046</v>
      </c>
      <c r="AC9" s="71">
        <v>46047</v>
      </c>
      <c r="AD9" s="71">
        <v>46048</v>
      </c>
      <c r="AE9" s="71">
        <v>46049</v>
      </c>
      <c r="AF9" s="70">
        <v>46050</v>
      </c>
      <c r="AG9" s="69">
        <v>46051</v>
      </c>
      <c r="AH9" s="71">
        <v>46052</v>
      </c>
      <c r="AI9" s="72">
        <v>46053</v>
      </c>
      <c r="AJ9" s="156" t="s">
        <v>32</v>
      </c>
      <c r="AK9" s="155" t="s">
        <v>33</v>
      </c>
      <c r="AL9" s="155" t="s">
        <v>34</v>
      </c>
      <c r="AM9" s="156" t="s">
        <v>35</v>
      </c>
    </row>
    <row r="10" spans="1:39" ht="20.25" customHeight="1" thickBot="1" x14ac:dyDescent="0.25">
      <c r="A10" s="157"/>
      <c r="B10" s="158"/>
      <c r="C10" s="189"/>
      <c r="D10" s="159" t="s">
        <v>36</v>
      </c>
      <c r="E10" s="48" t="str">
        <f>TEXT(E9,"aaa")</f>
        <v>木</v>
      </c>
      <c r="F10" s="49" t="str">
        <f t="shared" ref="F10:AI10" si="0">TEXT(F9,"aaa")</f>
        <v>金</v>
      </c>
      <c r="G10" s="49" t="str">
        <f t="shared" si="0"/>
        <v>土</v>
      </c>
      <c r="H10" s="49" t="str">
        <f t="shared" si="0"/>
        <v>日</v>
      </c>
      <c r="I10" s="49" t="str">
        <f t="shared" si="0"/>
        <v>月</v>
      </c>
      <c r="J10" s="49" t="str">
        <f t="shared" si="0"/>
        <v>火</v>
      </c>
      <c r="K10" s="50" t="str">
        <f t="shared" si="0"/>
        <v>水</v>
      </c>
      <c r="L10" s="48" t="str">
        <f t="shared" si="0"/>
        <v>木</v>
      </c>
      <c r="M10" s="49" t="str">
        <f t="shared" si="0"/>
        <v>金</v>
      </c>
      <c r="N10" s="49" t="str">
        <f t="shared" si="0"/>
        <v>土</v>
      </c>
      <c r="O10" s="49" t="str">
        <f t="shared" si="0"/>
        <v>日</v>
      </c>
      <c r="P10" s="49" t="str">
        <f t="shared" si="0"/>
        <v>月</v>
      </c>
      <c r="Q10" s="49" t="str">
        <f t="shared" si="0"/>
        <v>火</v>
      </c>
      <c r="R10" s="50" t="str">
        <f t="shared" si="0"/>
        <v>水</v>
      </c>
      <c r="S10" s="48" t="str">
        <f t="shared" si="0"/>
        <v>木</v>
      </c>
      <c r="T10" s="49" t="str">
        <f t="shared" si="0"/>
        <v>金</v>
      </c>
      <c r="U10" s="49" t="str">
        <f t="shared" si="0"/>
        <v>土</v>
      </c>
      <c r="V10" s="49" t="str">
        <f t="shared" si="0"/>
        <v>日</v>
      </c>
      <c r="W10" s="49" t="str">
        <f t="shared" si="0"/>
        <v>月</v>
      </c>
      <c r="X10" s="49" t="str">
        <f t="shared" si="0"/>
        <v>火</v>
      </c>
      <c r="Y10" s="50" t="str">
        <f t="shared" si="0"/>
        <v>水</v>
      </c>
      <c r="Z10" s="48" t="str">
        <f t="shared" si="0"/>
        <v>木</v>
      </c>
      <c r="AA10" s="49" t="str">
        <f t="shared" si="0"/>
        <v>金</v>
      </c>
      <c r="AB10" s="49" t="str">
        <f t="shared" si="0"/>
        <v>土</v>
      </c>
      <c r="AC10" s="49" t="str">
        <f t="shared" si="0"/>
        <v>日</v>
      </c>
      <c r="AD10" s="49" t="str">
        <f t="shared" si="0"/>
        <v>月</v>
      </c>
      <c r="AE10" s="49" t="str">
        <f t="shared" si="0"/>
        <v>火</v>
      </c>
      <c r="AF10" s="50" t="str">
        <f t="shared" si="0"/>
        <v>水</v>
      </c>
      <c r="AG10" s="48" t="str">
        <f t="shared" si="0"/>
        <v>木</v>
      </c>
      <c r="AH10" s="49" t="str">
        <f t="shared" si="0"/>
        <v>金</v>
      </c>
      <c r="AI10" s="51" t="str">
        <f t="shared" si="0"/>
        <v>土</v>
      </c>
      <c r="AJ10" s="160" t="s">
        <v>37</v>
      </c>
      <c r="AK10" s="161" t="s">
        <v>53</v>
      </c>
      <c r="AL10" s="161" t="s">
        <v>54</v>
      </c>
      <c r="AM10" s="160" t="s">
        <v>38</v>
      </c>
    </row>
    <row r="11" spans="1:39" ht="20.25" customHeight="1" thickBot="1" x14ac:dyDescent="0.25">
      <c r="A11" s="6" t="s">
        <v>39</v>
      </c>
      <c r="B11" s="7" t="s">
        <v>71</v>
      </c>
      <c r="C11" s="8" t="s">
        <v>40</v>
      </c>
      <c r="D11" s="9" t="s">
        <v>79</v>
      </c>
      <c r="E11" s="73">
        <v>9</v>
      </c>
      <c r="F11" s="74">
        <v>9</v>
      </c>
      <c r="G11" s="74" t="s">
        <v>85</v>
      </c>
      <c r="H11" s="74" t="s">
        <v>85</v>
      </c>
      <c r="I11" s="74">
        <v>9</v>
      </c>
      <c r="J11" s="74">
        <v>9</v>
      </c>
      <c r="K11" s="75">
        <v>9</v>
      </c>
      <c r="L11" s="76">
        <v>9</v>
      </c>
      <c r="M11" s="74">
        <v>9</v>
      </c>
      <c r="N11" s="74" t="s">
        <v>85</v>
      </c>
      <c r="O11" s="74" t="s">
        <v>85</v>
      </c>
      <c r="P11" s="74" t="s">
        <v>85</v>
      </c>
      <c r="Q11" s="74">
        <v>9</v>
      </c>
      <c r="R11" s="75">
        <v>9</v>
      </c>
      <c r="S11" s="73">
        <v>9</v>
      </c>
      <c r="T11" s="74">
        <v>9</v>
      </c>
      <c r="U11" s="74">
        <v>9</v>
      </c>
      <c r="V11" s="74" t="s">
        <v>85</v>
      </c>
      <c r="W11" s="74">
        <v>9</v>
      </c>
      <c r="X11" s="74">
        <v>9</v>
      </c>
      <c r="Y11" s="75">
        <v>9</v>
      </c>
      <c r="Z11" s="73">
        <v>9</v>
      </c>
      <c r="AA11" s="74">
        <v>9</v>
      </c>
      <c r="AB11" s="74" t="s">
        <v>85</v>
      </c>
      <c r="AC11" s="74" t="s">
        <v>85</v>
      </c>
      <c r="AD11" s="74">
        <v>9</v>
      </c>
      <c r="AE11" s="74">
        <v>9</v>
      </c>
      <c r="AF11" s="75">
        <v>9</v>
      </c>
      <c r="AG11" s="77">
        <v>9</v>
      </c>
      <c r="AH11" s="74">
        <v>9</v>
      </c>
      <c r="AI11" s="78" t="s">
        <v>85</v>
      </c>
      <c r="AJ11" s="32">
        <f t="shared" ref="AJ11:AJ25" si="1">SUM(E11:AF11)</f>
        <v>180</v>
      </c>
      <c r="AK11" s="52">
        <f>AJ11/4</f>
        <v>45</v>
      </c>
      <c r="AL11" s="53"/>
      <c r="AM11" s="25" t="s">
        <v>80</v>
      </c>
    </row>
    <row r="12" spans="1:39" ht="20.25" customHeight="1" x14ac:dyDescent="0.2">
      <c r="A12" s="10" t="s">
        <v>42</v>
      </c>
      <c r="B12" s="11" t="s">
        <v>71</v>
      </c>
      <c r="C12" s="12" t="s">
        <v>40</v>
      </c>
      <c r="D12" s="13" t="s">
        <v>79</v>
      </c>
      <c r="E12" s="79">
        <v>9</v>
      </c>
      <c r="F12" s="80">
        <v>9</v>
      </c>
      <c r="G12" s="80" t="s">
        <v>85</v>
      </c>
      <c r="H12" s="80" t="s">
        <v>85</v>
      </c>
      <c r="I12" s="80">
        <v>9</v>
      </c>
      <c r="J12" s="80">
        <v>9</v>
      </c>
      <c r="K12" s="81">
        <v>9</v>
      </c>
      <c r="L12" s="82">
        <v>9</v>
      </c>
      <c r="M12" s="80">
        <v>9</v>
      </c>
      <c r="N12" s="80" t="s">
        <v>85</v>
      </c>
      <c r="O12" s="80" t="s">
        <v>85</v>
      </c>
      <c r="P12" s="80" t="s">
        <v>85</v>
      </c>
      <c r="Q12" s="80">
        <v>9</v>
      </c>
      <c r="R12" s="81">
        <v>9</v>
      </c>
      <c r="S12" s="79">
        <v>9</v>
      </c>
      <c r="T12" s="80">
        <v>9</v>
      </c>
      <c r="U12" s="80">
        <v>9</v>
      </c>
      <c r="V12" s="80" t="s">
        <v>85</v>
      </c>
      <c r="W12" s="80">
        <v>9</v>
      </c>
      <c r="X12" s="80">
        <v>9</v>
      </c>
      <c r="Y12" s="81">
        <v>9</v>
      </c>
      <c r="Z12" s="79">
        <v>9</v>
      </c>
      <c r="AA12" s="80">
        <v>9</v>
      </c>
      <c r="AB12" s="80" t="s">
        <v>85</v>
      </c>
      <c r="AC12" s="80" t="s">
        <v>85</v>
      </c>
      <c r="AD12" s="80">
        <v>9</v>
      </c>
      <c r="AE12" s="80">
        <v>9</v>
      </c>
      <c r="AF12" s="81">
        <v>9</v>
      </c>
      <c r="AG12" s="83">
        <v>9</v>
      </c>
      <c r="AH12" s="80">
        <v>9</v>
      </c>
      <c r="AI12" s="83" t="s">
        <v>85</v>
      </c>
      <c r="AJ12" s="103">
        <f t="shared" si="1"/>
        <v>180</v>
      </c>
      <c r="AK12" s="104">
        <f>AJ12/4</f>
        <v>45</v>
      </c>
      <c r="AL12" s="54">
        <f t="shared" ref="AL12:AL18" si="2">IF($X$26="","",ROUNDDOWN(AK12/$X$26,1))</f>
        <v>1.1000000000000001</v>
      </c>
      <c r="AM12" s="33" t="s">
        <v>39</v>
      </c>
    </row>
    <row r="13" spans="1:39" ht="20.25" customHeight="1" x14ac:dyDescent="0.2">
      <c r="A13" s="4" t="s">
        <v>42</v>
      </c>
      <c r="B13" s="11" t="s">
        <v>71</v>
      </c>
      <c r="C13" s="12" t="s">
        <v>72</v>
      </c>
      <c r="D13" s="13" t="s">
        <v>90</v>
      </c>
      <c r="E13" s="84" t="s">
        <v>85</v>
      </c>
      <c r="F13" s="85">
        <v>8.5</v>
      </c>
      <c r="G13" s="85">
        <v>7.9999999999999982</v>
      </c>
      <c r="H13" s="85" t="s">
        <v>85</v>
      </c>
      <c r="I13" s="85">
        <v>8.5</v>
      </c>
      <c r="J13" s="85">
        <v>9.4999999999999982</v>
      </c>
      <c r="K13" s="86">
        <v>9</v>
      </c>
      <c r="L13" s="87" t="s">
        <v>85</v>
      </c>
      <c r="M13" s="85">
        <v>8.5</v>
      </c>
      <c r="N13" s="85">
        <v>7.9999999999999982</v>
      </c>
      <c r="O13" s="85">
        <v>10.75</v>
      </c>
      <c r="P13" s="85">
        <v>9.7499999999999982</v>
      </c>
      <c r="Q13" s="85" t="s">
        <v>85</v>
      </c>
      <c r="R13" s="86">
        <v>8.5</v>
      </c>
      <c r="S13" s="84">
        <v>9.25</v>
      </c>
      <c r="T13" s="85">
        <v>9</v>
      </c>
      <c r="U13" s="85" t="s">
        <v>85</v>
      </c>
      <c r="V13" s="85">
        <v>8.5</v>
      </c>
      <c r="W13" s="85">
        <v>8.5</v>
      </c>
      <c r="X13" s="85">
        <v>10</v>
      </c>
      <c r="Y13" s="86" t="s">
        <v>85</v>
      </c>
      <c r="Z13" s="84" t="s">
        <v>85</v>
      </c>
      <c r="AA13" s="85">
        <v>9.25</v>
      </c>
      <c r="AB13" s="85">
        <v>9</v>
      </c>
      <c r="AC13" s="85" t="s">
        <v>85</v>
      </c>
      <c r="AD13" s="85">
        <v>9.4999999999999982</v>
      </c>
      <c r="AE13" s="85">
        <v>8.5</v>
      </c>
      <c r="AF13" s="86" t="s">
        <v>85</v>
      </c>
      <c r="AG13" s="88">
        <v>9.4999999999999982</v>
      </c>
      <c r="AH13" s="85">
        <v>10</v>
      </c>
      <c r="AI13" s="88">
        <v>9.4999999999999982</v>
      </c>
      <c r="AJ13" s="24">
        <f t="shared" si="1"/>
        <v>170.5</v>
      </c>
      <c r="AK13" s="101">
        <f>AJ13/4</f>
        <v>42.625</v>
      </c>
      <c r="AL13" s="55">
        <f t="shared" si="2"/>
        <v>1</v>
      </c>
      <c r="AM13" s="31"/>
    </row>
    <row r="14" spans="1:39" ht="20.25" customHeight="1" x14ac:dyDescent="0.2">
      <c r="A14" s="4" t="s">
        <v>42</v>
      </c>
      <c r="B14" s="11" t="s">
        <v>71</v>
      </c>
      <c r="C14" s="12" t="s">
        <v>73</v>
      </c>
      <c r="D14" s="14" t="s">
        <v>84</v>
      </c>
      <c r="E14" s="90" t="s">
        <v>85</v>
      </c>
      <c r="F14" s="91" t="s">
        <v>85</v>
      </c>
      <c r="G14" s="91" t="s">
        <v>85</v>
      </c>
      <c r="H14" s="91" t="s">
        <v>85</v>
      </c>
      <c r="I14" s="91" t="s">
        <v>85</v>
      </c>
      <c r="J14" s="91">
        <v>7.5</v>
      </c>
      <c r="K14" s="92">
        <v>7.5</v>
      </c>
      <c r="L14" s="93">
        <v>8</v>
      </c>
      <c r="M14" s="91" t="s">
        <v>85</v>
      </c>
      <c r="N14" s="91" t="s">
        <v>85</v>
      </c>
      <c r="O14" s="91" t="s">
        <v>85</v>
      </c>
      <c r="P14" s="91" t="s">
        <v>85</v>
      </c>
      <c r="Q14" s="91">
        <v>7.5</v>
      </c>
      <c r="R14" s="92">
        <v>5.4999999999999991</v>
      </c>
      <c r="S14" s="90">
        <v>7.5</v>
      </c>
      <c r="T14" s="91" t="s">
        <v>85</v>
      </c>
      <c r="U14" s="91">
        <v>5</v>
      </c>
      <c r="V14" s="91" t="s">
        <v>85</v>
      </c>
      <c r="W14" s="91" t="s">
        <v>85</v>
      </c>
      <c r="X14" s="91">
        <v>8.5</v>
      </c>
      <c r="Y14" s="92">
        <v>7.5</v>
      </c>
      <c r="Z14" s="90">
        <v>9</v>
      </c>
      <c r="AA14" s="91">
        <v>5.7500000000000009</v>
      </c>
      <c r="AB14" s="91">
        <v>5.0000000000000009</v>
      </c>
      <c r="AC14" s="91" t="s">
        <v>85</v>
      </c>
      <c r="AD14" s="91" t="s">
        <v>85</v>
      </c>
      <c r="AE14" s="91">
        <v>8</v>
      </c>
      <c r="AF14" s="92">
        <v>5.0000000000000009</v>
      </c>
      <c r="AG14" s="88">
        <v>7.75</v>
      </c>
      <c r="AH14" s="85">
        <v>7.9999999999999982</v>
      </c>
      <c r="AI14" s="88">
        <v>5</v>
      </c>
      <c r="AJ14" s="24">
        <f t="shared" si="1"/>
        <v>97.25</v>
      </c>
      <c r="AK14" s="102">
        <f>AJ14/4</f>
        <v>24.3125</v>
      </c>
      <c r="AL14" s="56">
        <f t="shared" si="2"/>
        <v>0.6</v>
      </c>
      <c r="AM14" s="26"/>
    </row>
    <row r="15" spans="1:39" ht="20.25" customHeight="1" x14ac:dyDescent="0.2">
      <c r="A15" s="4" t="s">
        <v>42</v>
      </c>
      <c r="B15" s="11" t="s">
        <v>71</v>
      </c>
      <c r="C15" s="12" t="s">
        <v>73</v>
      </c>
      <c r="D15" s="14" t="s">
        <v>88</v>
      </c>
      <c r="E15" s="90" t="s">
        <v>85</v>
      </c>
      <c r="F15" s="91">
        <v>5.0000000000000009</v>
      </c>
      <c r="G15" s="91" t="s">
        <v>85</v>
      </c>
      <c r="H15" s="91" t="s">
        <v>85</v>
      </c>
      <c r="I15" s="91">
        <v>5.25</v>
      </c>
      <c r="J15" s="91">
        <v>5.0000000000000009</v>
      </c>
      <c r="K15" s="92" t="s">
        <v>85</v>
      </c>
      <c r="L15" s="93">
        <v>7</v>
      </c>
      <c r="M15" s="91">
        <v>5.7500000000000009</v>
      </c>
      <c r="N15" s="91" t="s">
        <v>85</v>
      </c>
      <c r="O15" s="91" t="s">
        <v>85</v>
      </c>
      <c r="P15" s="91" t="s">
        <v>85</v>
      </c>
      <c r="Q15" s="91" t="s">
        <v>85</v>
      </c>
      <c r="R15" s="92" t="s">
        <v>85</v>
      </c>
      <c r="S15" s="90" t="s">
        <v>85</v>
      </c>
      <c r="T15" s="91">
        <v>5.4999999999999991</v>
      </c>
      <c r="U15" s="91" t="s">
        <v>85</v>
      </c>
      <c r="V15" s="91" t="s">
        <v>85</v>
      </c>
      <c r="W15" s="91">
        <v>5.4999999999999991</v>
      </c>
      <c r="X15" s="91">
        <v>6.2499999999999991</v>
      </c>
      <c r="Y15" s="92" t="s">
        <v>85</v>
      </c>
      <c r="Z15" s="90">
        <v>5.9999999999999982</v>
      </c>
      <c r="AA15" s="91">
        <v>7.4999999999999982</v>
      </c>
      <c r="AB15" s="91" t="s">
        <v>85</v>
      </c>
      <c r="AC15" s="91" t="s">
        <v>85</v>
      </c>
      <c r="AD15" s="91">
        <v>6</v>
      </c>
      <c r="AE15" s="91">
        <v>6.75</v>
      </c>
      <c r="AF15" s="92" t="s">
        <v>85</v>
      </c>
      <c r="AG15" s="94">
        <v>5.4999999999999991</v>
      </c>
      <c r="AH15" s="91">
        <v>6</v>
      </c>
      <c r="AI15" s="94" t="s">
        <v>85</v>
      </c>
      <c r="AJ15" s="24">
        <f t="shared" si="1"/>
        <v>71.5</v>
      </c>
      <c r="AK15" s="101">
        <f t="shared" ref="AK15:AK25" si="3">AJ15/4</f>
        <v>17.875</v>
      </c>
      <c r="AL15" s="56">
        <f t="shared" si="2"/>
        <v>0.4</v>
      </c>
      <c r="AM15" s="26"/>
    </row>
    <row r="16" spans="1:39" ht="20.25" customHeight="1" x14ac:dyDescent="0.2">
      <c r="A16" s="4" t="s">
        <v>42</v>
      </c>
      <c r="B16" s="11" t="s">
        <v>71</v>
      </c>
      <c r="C16" s="15" t="s">
        <v>72</v>
      </c>
      <c r="D16" s="19" t="s">
        <v>89</v>
      </c>
      <c r="E16" s="95">
        <v>7.9999999999999982</v>
      </c>
      <c r="F16" s="96" t="s">
        <v>85</v>
      </c>
      <c r="G16" s="96" t="s">
        <v>85</v>
      </c>
      <c r="H16" s="96">
        <v>7.9999999999999982</v>
      </c>
      <c r="I16" s="96">
        <v>7.9999999999999982</v>
      </c>
      <c r="J16" s="96">
        <v>7.9999999999999982</v>
      </c>
      <c r="K16" s="97" t="s">
        <v>85</v>
      </c>
      <c r="L16" s="98">
        <v>7.9999999999999982</v>
      </c>
      <c r="M16" s="91">
        <v>8.5</v>
      </c>
      <c r="N16" s="91">
        <v>7.9999999999999982</v>
      </c>
      <c r="O16" s="91" t="s">
        <v>85</v>
      </c>
      <c r="P16" s="91">
        <v>2.4999999999999991</v>
      </c>
      <c r="Q16" s="91">
        <v>8.5</v>
      </c>
      <c r="R16" s="97">
        <v>8.5</v>
      </c>
      <c r="S16" s="95">
        <v>7.9999999999999982</v>
      </c>
      <c r="T16" s="91">
        <v>7.9999999999999982</v>
      </c>
      <c r="U16" s="91">
        <v>7.9999999999999982</v>
      </c>
      <c r="V16" s="91" t="s">
        <v>85</v>
      </c>
      <c r="W16" s="91">
        <v>7.9999999999999982</v>
      </c>
      <c r="X16" s="91">
        <v>7.9999999999999982</v>
      </c>
      <c r="Y16" s="97">
        <v>7.9999999999999982</v>
      </c>
      <c r="Z16" s="95">
        <v>8.5</v>
      </c>
      <c r="AA16" s="96" t="s">
        <v>85</v>
      </c>
      <c r="AB16" s="96">
        <v>7.9999999999999982</v>
      </c>
      <c r="AC16" s="96">
        <v>7.9999999999999982</v>
      </c>
      <c r="AD16" s="96">
        <v>7.9999999999999982</v>
      </c>
      <c r="AE16" s="96">
        <v>5</v>
      </c>
      <c r="AF16" s="97">
        <v>7.9999999999999982</v>
      </c>
      <c r="AG16" s="99">
        <v>7.9999999999999982</v>
      </c>
      <c r="AH16" s="96">
        <v>4</v>
      </c>
      <c r="AI16" s="99" t="s">
        <v>85</v>
      </c>
      <c r="AJ16" s="24">
        <f t="shared" si="1"/>
        <v>169.5</v>
      </c>
      <c r="AK16" s="102">
        <f t="shared" si="3"/>
        <v>42.375</v>
      </c>
      <c r="AL16" s="56">
        <f t="shared" si="2"/>
        <v>1</v>
      </c>
      <c r="AM16" s="27"/>
    </row>
    <row r="17" spans="1:40" ht="20.25" customHeight="1" x14ac:dyDescent="0.2">
      <c r="A17" s="4" t="s">
        <v>42</v>
      </c>
      <c r="B17" s="11" t="s">
        <v>71</v>
      </c>
      <c r="C17" s="15" t="s">
        <v>72</v>
      </c>
      <c r="D17" s="14" t="s">
        <v>91</v>
      </c>
      <c r="E17" s="90" t="s">
        <v>85</v>
      </c>
      <c r="F17" s="91" t="s">
        <v>85</v>
      </c>
      <c r="G17" s="91">
        <v>9</v>
      </c>
      <c r="H17" s="91">
        <v>9.0833333333333321</v>
      </c>
      <c r="I17" s="91">
        <v>9</v>
      </c>
      <c r="J17" s="91" t="s">
        <v>85</v>
      </c>
      <c r="K17" s="92">
        <v>9.4999999999999982</v>
      </c>
      <c r="L17" s="93">
        <v>7.9999999999999982</v>
      </c>
      <c r="M17" s="91">
        <v>7.9999999999999982</v>
      </c>
      <c r="N17" s="91" t="s">
        <v>85</v>
      </c>
      <c r="O17" s="91">
        <v>7.9999999999999982</v>
      </c>
      <c r="P17" s="91">
        <v>9</v>
      </c>
      <c r="Q17" s="91">
        <v>10.999999999999998</v>
      </c>
      <c r="R17" s="92">
        <v>9</v>
      </c>
      <c r="S17" s="90" t="s">
        <v>85</v>
      </c>
      <c r="T17" s="91">
        <v>7.9999999999999982</v>
      </c>
      <c r="U17" s="91">
        <v>7.9999999999999982</v>
      </c>
      <c r="V17" s="91">
        <v>9</v>
      </c>
      <c r="W17" s="91">
        <v>9</v>
      </c>
      <c r="X17" s="91" t="s">
        <v>85</v>
      </c>
      <c r="Y17" s="92" t="s">
        <v>85</v>
      </c>
      <c r="Z17" s="90">
        <v>10</v>
      </c>
      <c r="AA17" s="91">
        <v>8.5</v>
      </c>
      <c r="AB17" s="91">
        <v>7.9999999999999982</v>
      </c>
      <c r="AC17" s="91" t="s">
        <v>85</v>
      </c>
      <c r="AD17" s="91">
        <v>7.9999999999999982</v>
      </c>
      <c r="AE17" s="91">
        <v>9.4833333333333343</v>
      </c>
      <c r="AF17" s="92">
        <v>9.8333333333333321</v>
      </c>
      <c r="AG17" s="94">
        <v>9.9999999999999911</v>
      </c>
      <c r="AH17" s="91" t="s">
        <v>85</v>
      </c>
      <c r="AI17" s="94">
        <v>7.9999999999999982</v>
      </c>
      <c r="AJ17" s="24">
        <f t="shared" si="1"/>
        <v>177.4</v>
      </c>
      <c r="AK17" s="102">
        <f>AJ17/4</f>
        <v>44.35</v>
      </c>
      <c r="AL17" s="56">
        <f t="shared" si="2"/>
        <v>1.1000000000000001</v>
      </c>
      <c r="AM17" s="27"/>
    </row>
    <row r="18" spans="1:40" ht="20.25" customHeight="1" x14ac:dyDescent="0.2">
      <c r="A18" s="4" t="s">
        <v>42</v>
      </c>
      <c r="B18" s="18" t="s">
        <v>71</v>
      </c>
      <c r="C18" s="15" t="s">
        <v>73</v>
      </c>
      <c r="D18" s="107" t="s">
        <v>94</v>
      </c>
      <c r="E18" s="108" t="s">
        <v>85</v>
      </c>
      <c r="F18" s="109" t="s">
        <v>85</v>
      </c>
      <c r="G18" s="109" t="s">
        <v>85</v>
      </c>
      <c r="H18" s="109" t="s">
        <v>85</v>
      </c>
      <c r="I18" s="109" t="s">
        <v>85</v>
      </c>
      <c r="J18" s="109" t="s">
        <v>85</v>
      </c>
      <c r="K18" s="110">
        <v>4.5</v>
      </c>
      <c r="L18" s="111" t="s">
        <v>85</v>
      </c>
      <c r="M18" s="109">
        <v>4.5</v>
      </c>
      <c r="N18" s="109" t="s">
        <v>85</v>
      </c>
      <c r="O18" s="109" t="s">
        <v>85</v>
      </c>
      <c r="P18" s="109" t="s">
        <v>85</v>
      </c>
      <c r="Q18" s="109" t="s">
        <v>85</v>
      </c>
      <c r="R18" s="110">
        <v>3.9999999999999991</v>
      </c>
      <c r="S18" s="108" t="s">
        <v>85</v>
      </c>
      <c r="T18" s="109">
        <v>3.9999999999999991</v>
      </c>
      <c r="U18" s="109" t="s">
        <v>85</v>
      </c>
      <c r="V18" s="109" t="s">
        <v>85</v>
      </c>
      <c r="W18" s="109">
        <v>3.9999999999999991</v>
      </c>
      <c r="X18" s="109">
        <v>3.9999999999999991</v>
      </c>
      <c r="Y18" s="110" t="s">
        <v>85</v>
      </c>
      <c r="Z18" s="108" t="s">
        <v>85</v>
      </c>
      <c r="AA18" s="109" t="s">
        <v>85</v>
      </c>
      <c r="AB18" s="109" t="s">
        <v>85</v>
      </c>
      <c r="AC18" s="109" t="s">
        <v>85</v>
      </c>
      <c r="AD18" s="109">
        <v>3.9999999999999991</v>
      </c>
      <c r="AE18" s="109" t="s">
        <v>85</v>
      </c>
      <c r="AF18" s="110">
        <v>3.9999999999999991</v>
      </c>
      <c r="AG18" s="112" t="s">
        <v>85</v>
      </c>
      <c r="AH18" s="109">
        <v>3.9999999999999991</v>
      </c>
      <c r="AI18" s="112" t="s">
        <v>85</v>
      </c>
      <c r="AJ18" s="113">
        <f t="shared" si="1"/>
        <v>33</v>
      </c>
      <c r="AK18" s="120">
        <f t="shared" si="3"/>
        <v>8.25</v>
      </c>
      <c r="AL18" s="114">
        <f t="shared" si="2"/>
        <v>0.2</v>
      </c>
      <c r="AM18" s="27"/>
    </row>
    <row r="19" spans="1:40" ht="20.25" customHeight="1" x14ac:dyDescent="0.2">
      <c r="A19" s="105"/>
      <c r="B19" s="12"/>
      <c r="C19" s="12"/>
      <c r="D19" s="131"/>
      <c r="E19" s="90"/>
      <c r="F19" s="91"/>
      <c r="G19" s="91"/>
      <c r="H19" s="91"/>
      <c r="I19" s="91"/>
      <c r="J19" s="91"/>
      <c r="K19" s="121"/>
      <c r="L19" s="90"/>
      <c r="M19" s="91"/>
      <c r="N19" s="91"/>
      <c r="O19" s="91"/>
      <c r="P19" s="91"/>
      <c r="Q19" s="91"/>
      <c r="R19" s="121"/>
      <c r="S19" s="90"/>
      <c r="T19" s="91"/>
      <c r="U19" s="91"/>
      <c r="V19" s="91"/>
      <c r="W19" s="91"/>
      <c r="X19" s="91"/>
      <c r="Y19" s="121"/>
      <c r="Z19" s="90"/>
      <c r="AA19" s="91"/>
      <c r="AB19" s="91"/>
      <c r="AC19" s="91"/>
      <c r="AD19" s="91"/>
      <c r="AE19" s="91"/>
      <c r="AF19" s="121"/>
      <c r="AG19" s="90"/>
      <c r="AH19" s="91"/>
      <c r="AI19" s="92"/>
      <c r="AJ19" s="125">
        <f>SUM(E19:AF19)</f>
        <v>0</v>
      </c>
      <c r="AK19" s="56">
        <f>AJ19/4</f>
        <v>0</v>
      </c>
      <c r="AL19" s="102">
        <f>IF($X$26="","",ROUNDDOWN(AK19/$X$26,1))</f>
        <v>0</v>
      </c>
      <c r="AM19" s="128"/>
    </row>
    <row r="20" spans="1:40" ht="20.25" customHeight="1" x14ac:dyDescent="0.2">
      <c r="A20" s="105"/>
      <c r="B20" s="12"/>
      <c r="C20" s="12"/>
      <c r="D20" s="131"/>
      <c r="E20" s="90"/>
      <c r="F20" s="91"/>
      <c r="G20" s="91"/>
      <c r="H20" s="91"/>
      <c r="I20" s="91"/>
      <c r="J20" s="91"/>
      <c r="K20" s="121"/>
      <c r="L20" s="90"/>
      <c r="M20" s="91"/>
      <c r="N20" s="91"/>
      <c r="O20" s="91"/>
      <c r="P20" s="91"/>
      <c r="Q20" s="91"/>
      <c r="R20" s="121"/>
      <c r="S20" s="90"/>
      <c r="T20" s="91"/>
      <c r="U20" s="91"/>
      <c r="V20" s="91"/>
      <c r="W20" s="91"/>
      <c r="X20" s="91"/>
      <c r="Y20" s="121"/>
      <c r="Z20" s="90"/>
      <c r="AA20" s="91"/>
      <c r="AB20" s="91"/>
      <c r="AC20" s="91"/>
      <c r="AD20" s="91"/>
      <c r="AE20" s="91"/>
      <c r="AF20" s="121"/>
      <c r="AG20" s="90"/>
      <c r="AH20" s="91"/>
      <c r="AI20" s="92"/>
      <c r="AJ20" s="125">
        <f>SUM(E20:AF20)</f>
        <v>0</v>
      </c>
      <c r="AK20" s="56">
        <f>AJ20/4</f>
        <v>0</v>
      </c>
      <c r="AL20" s="102">
        <f>IF($X$26="","",ROUNDDOWN(AK20/$X$26,1))</f>
        <v>0</v>
      </c>
      <c r="AM20" s="128"/>
    </row>
    <row r="21" spans="1:40" ht="20.25" customHeight="1" thickBot="1" x14ac:dyDescent="0.25">
      <c r="A21" s="105"/>
      <c r="B21" s="16"/>
      <c r="C21" s="16"/>
      <c r="D21" s="132"/>
      <c r="E21" s="116"/>
      <c r="F21" s="117"/>
      <c r="G21" s="117"/>
      <c r="H21" s="117"/>
      <c r="I21" s="117"/>
      <c r="J21" s="117"/>
      <c r="K21" s="122"/>
      <c r="L21" s="116"/>
      <c r="M21" s="117"/>
      <c r="N21" s="117"/>
      <c r="O21" s="117"/>
      <c r="P21" s="117"/>
      <c r="Q21" s="117"/>
      <c r="R21" s="122"/>
      <c r="S21" s="116"/>
      <c r="T21" s="117"/>
      <c r="U21" s="117"/>
      <c r="V21" s="117"/>
      <c r="W21" s="117"/>
      <c r="X21" s="117"/>
      <c r="Y21" s="122"/>
      <c r="Z21" s="116"/>
      <c r="AA21" s="117"/>
      <c r="AB21" s="117"/>
      <c r="AC21" s="117"/>
      <c r="AD21" s="117"/>
      <c r="AE21" s="117"/>
      <c r="AF21" s="122"/>
      <c r="AG21" s="116"/>
      <c r="AH21" s="117"/>
      <c r="AI21" s="118"/>
      <c r="AJ21" s="126">
        <f>SUM(E21:AF21)</f>
        <v>0</v>
      </c>
      <c r="AK21" s="119">
        <f>AJ21/4</f>
        <v>0</v>
      </c>
      <c r="AL21" s="127">
        <f>IF($X$26="","",ROUNDDOWN(AK21/$X$26,1))</f>
        <v>0</v>
      </c>
      <c r="AM21" s="129"/>
    </row>
    <row r="22" spans="1:40" ht="20.25" customHeight="1" thickTop="1" x14ac:dyDescent="0.2">
      <c r="A22" s="5" t="s">
        <v>43</v>
      </c>
      <c r="B22" s="106"/>
      <c r="C22" s="115"/>
      <c r="D22" s="13"/>
      <c r="E22" s="84"/>
      <c r="F22" s="85"/>
      <c r="G22" s="85"/>
      <c r="H22" s="85"/>
      <c r="I22" s="85"/>
      <c r="J22" s="85"/>
      <c r="K22" s="86"/>
      <c r="L22" s="87"/>
      <c r="M22" s="85"/>
      <c r="N22" s="85"/>
      <c r="O22" s="85"/>
      <c r="P22" s="85"/>
      <c r="Q22" s="85"/>
      <c r="R22" s="86"/>
      <c r="S22" s="84"/>
      <c r="T22" s="85"/>
      <c r="U22" s="85"/>
      <c r="V22" s="85"/>
      <c r="W22" s="85"/>
      <c r="X22" s="85"/>
      <c r="Y22" s="86"/>
      <c r="Z22" s="84"/>
      <c r="AA22" s="85"/>
      <c r="AB22" s="85"/>
      <c r="AC22" s="85"/>
      <c r="AD22" s="85"/>
      <c r="AE22" s="85"/>
      <c r="AF22" s="86"/>
      <c r="AG22" s="88"/>
      <c r="AH22" s="85"/>
      <c r="AI22" s="89"/>
      <c r="AJ22" s="123">
        <f t="shared" si="1"/>
        <v>0</v>
      </c>
      <c r="AK22" s="55">
        <f t="shared" si="3"/>
        <v>0</v>
      </c>
      <c r="AL22" s="124"/>
      <c r="AM22" s="31"/>
    </row>
    <row r="23" spans="1:40" ht="20.25" customHeight="1" x14ac:dyDescent="0.2">
      <c r="A23" s="4" t="s">
        <v>44</v>
      </c>
      <c r="B23" s="18" t="s">
        <v>75</v>
      </c>
      <c r="C23" s="15" t="s">
        <v>72</v>
      </c>
      <c r="D23" s="19" t="s">
        <v>87</v>
      </c>
      <c r="E23" s="95" t="s">
        <v>85</v>
      </c>
      <c r="F23" s="96">
        <v>7.9999999999999982</v>
      </c>
      <c r="G23" s="96" t="s">
        <v>85</v>
      </c>
      <c r="H23" s="96" t="s">
        <v>85</v>
      </c>
      <c r="I23" s="96">
        <v>7.9999999999999982</v>
      </c>
      <c r="J23" s="96">
        <v>10.999999999999998</v>
      </c>
      <c r="K23" s="97">
        <v>10.75</v>
      </c>
      <c r="L23" s="98">
        <v>9.4999999999999982</v>
      </c>
      <c r="M23" s="91">
        <v>7.9999999999999982</v>
      </c>
      <c r="N23" s="91" t="s">
        <v>85</v>
      </c>
      <c r="O23" s="91" t="s">
        <v>85</v>
      </c>
      <c r="P23" s="91">
        <v>7.9999999999999982</v>
      </c>
      <c r="Q23" s="91">
        <v>10.249999999999998</v>
      </c>
      <c r="R23" s="97">
        <v>10</v>
      </c>
      <c r="S23" s="95">
        <v>9.4999999999999982</v>
      </c>
      <c r="T23" s="91">
        <v>7.9999999999999982</v>
      </c>
      <c r="U23" s="91">
        <v>4</v>
      </c>
      <c r="V23" s="91" t="s">
        <v>85</v>
      </c>
      <c r="W23" s="91">
        <v>3.9999999999999991</v>
      </c>
      <c r="X23" s="91">
        <v>10.5</v>
      </c>
      <c r="Y23" s="97">
        <v>9.4999999999999982</v>
      </c>
      <c r="Z23" s="95">
        <v>10</v>
      </c>
      <c r="AA23" s="96">
        <v>7.9999999999999982</v>
      </c>
      <c r="AB23" s="96" t="s">
        <v>85</v>
      </c>
      <c r="AC23" s="96" t="s">
        <v>85</v>
      </c>
      <c r="AD23" s="96">
        <v>7.9999999999999982</v>
      </c>
      <c r="AE23" s="96">
        <v>10.999999999999998</v>
      </c>
      <c r="AF23" s="97">
        <v>9.25</v>
      </c>
      <c r="AG23" s="99">
        <v>10.5</v>
      </c>
      <c r="AH23" s="96">
        <v>7.9999999999999982</v>
      </c>
      <c r="AI23" s="100">
        <v>7.9999999999999982</v>
      </c>
      <c r="AJ23" s="23">
        <f t="shared" si="1"/>
        <v>175.24999999999997</v>
      </c>
      <c r="AK23" s="56">
        <f t="shared" si="3"/>
        <v>43.812499999999993</v>
      </c>
      <c r="AL23" s="130"/>
      <c r="AM23" s="26"/>
    </row>
    <row r="24" spans="1:40" ht="20.25" customHeight="1" x14ac:dyDescent="0.2">
      <c r="A24" s="180"/>
      <c r="B24" s="18"/>
      <c r="C24" s="15"/>
      <c r="D24" s="19"/>
      <c r="E24" s="95"/>
      <c r="F24" s="96"/>
      <c r="G24" s="96"/>
      <c r="H24" s="96"/>
      <c r="I24" s="96"/>
      <c r="J24" s="96"/>
      <c r="K24" s="97"/>
      <c r="L24" s="98"/>
      <c r="M24" s="96"/>
      <c r="N24" s="96"/>
      <c r="O24" s="96"/>
      <c r="P24" s="96"/>
      <c r="Q24" s="96"/>
      <c r="R24" s="97"/>
      <c r="S24" s="95"/>
      <c r="T24" s="96"/>
      <c r="U24" s="96"/>
      <c r="V24" s="96"/>
      <c r="W24" s="96"/>
      <c r="X24" s="96"/>
      <c r="Y24" s="97"/>
      <c r="Z24" s="95"/>
      <c r="AA24" s="96"/>
      <c r="AB24" s="96"/>
      <c r="AC24" s="96"/>
      <c r="AD24" s="96"/>
      <c r="AE24" s="96"/>
      <c r="AF24" s="97"/>
      <c r="AG24" s="99"/>
      <c r="AH24" s="96"/>
      <c r="AI24" s="100"/>
      <c r="AJ24" s="23">
        <f>SUM(E24:AF24)</f>
        <v>0</v>
      </c>
      <c r="AK24" s="56">
        <f>AJ24/4</f>
        <v>0</v>
      </c>
      <c r="AL24" s="130"/>
      <c r="AM24" s="26"/>
    </row>
    <row r="25" spans="1:40" ht="20.25" customHeight="1" thickBot="1" x14ac:dyDescent="0.25">
      <c r="A25" s="20"/>
      <c r="B25" s="21"/>
      <c r="C25" s="17"/>
      <c r="D25" s="22"/>
      <c r="E25" s="57"/>
      <c r="F25" s="58"/>
      <c r="G25" s="58"/>
      <c r="H25" s="58"/>
      <c r="I25" s="58"/>
      <c r="J25" s="58"/>
      <c r="K25" s="59"/>
      <c r="L25" s="60"/>
      <c r="M25" s="58"/>
      <c r="N25" s="58"/>
      <c r="O25" s="58"/>
      <c r="P25" s="58"/>
      <c r="Q25" s="58"/>
      <c r="R25" s="59"/>
      <c r="S25" s="57"/>
      <c r="T25" s="58"/>
      <c r="U25" s="58"/>
      <c r="V25" s="58"/>
      <c r="W25" s="58"/>
      <c r="X25" s="58"/>
      <c r="Y25" s="59"/>
      <c r="Z25" s="57"/>
      <c r="AA25" s="58"/>
      <c r="AB25" s="58"/>
      <c r="AC25" s="58"/>
      <c r="AD25" s="58"/>
      <c r="AE25" s="58"/>
      <c r="AF25" s="59"/>
      <c r="AG25" s="61"/>
      <c r="AH25" s="58"/>
      <c r="AI25" s="62"/>
      <c r="AJ25" s="32">
        <f t="shared" si="1"/>
        <v>0</v>
      </c>
      <c r="AK25" s="181">
        <f t="shared" si="3"/>
        <v>0</v>
      </c>
      <c r="AL25" s="63"/>
      <c r="AM25" s="28"/>
    </row>
    <row r="26" spans="1:40" ht="20.25" customHeight="1" thickBot="1" x14ac:dyDescent="0.25">
      <c r="A26" s="162" t="s">
        <v>45</v>
      </c>
      <c r="B26" s="135" t="s">
        <v>52</v>
      </c>
      <c r="C26" s="47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34"/>
      <c r="O26" s="163"/>
      <c r="P26" s="163"/>
      <c r="Q26" s="163"/>
      <c r="R26" s="163"/>
      <c r="S26" s="163"/>
      <c r="T26" s="163"/>
      <c r="U26" s="163"/>
      <c r="V26" s="164"/>
      <c r="W26" s="134"/>
      <c r="X26" s="191" t="s">
        <v>74</v>
      </c>
      <c r="Y26" s="191"/>
      <c r="Z26" s="165" t="s">
        <v>69</v>
      </c>
      <c r="AA26" s="166"/>
      <c r="AB26" s="167"/>
      <c r="AC26" s="165"/>
      <c r="AD26" s="168"/>
      <c r="AE26" s="47"/>
      <c r="AF26" s="163"/>
      <c r="AG26" s="163"/>
      <c r="AH26" s="163"/>
      <c r="AI26" s="163"/>
      <c r="AJ26" s="163"/>
      <c r="AK26" s="64" t="s">
        <v>46</v>
      </c>
      <c r="AL26" s="178">
        <f>IF($X$26="","",SUM(AL12:AL21))</f>
        <v>5.3999999999999995</v>
      </c>
      <c r="AM26" s="169"/>
      <c r="AN26" s="34"/>
    </row>
    <row r="27" spans="1:40" ht="16" customHeight="1" x14ac:dyDescent="0.2">
      <c r="A27" s="170"/>
      <c r="B27" s="47"/>
      <c r="C27" s="47"/>
      <c r="D27" s="171" t="s">
        <v>47</v>
      </c>
      <c r="E27" s="65" t="s">
        <v>41</v>
      </c>
      <c r="F27" s="192"/>
      <c r="G27" s="192"/>
      <c r="H27" s="65" t="s">
        <v>15</v>
      </c>
      <c r="I27" s="192"/>
      <c r="J27" s="192"/>
      <c r="K27" s="172" t="s">
        <v>2</v>
      </c>
      <c r="L27" s="193"/>
      <c r="M27" s="192"/>
      <c r="N27" s="163" t="s">
        <v>68</v>
      </c>
      <c r="O27" s="163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9"/>
    </row>
    <row r="28" spans="1:40" ht="16" customHeight="1" x14ac:dyDescent="0.2">
      <c r="A28" s="170"/>
      <c r="B28" s="163"/>
      <c r="C28" s="47"/>
      <c r="D28" s="47"/>
      <c r="E28" s="65" t="s">
        <v>48</v>
      </c>
      <c r="F28" s="192"/>
      <c r="G28" s="192"/>
      <c r="H28" s="65" t="s">
        <v>15</v>
      </c>
      <c r="I28" s="192"/>
      <c r="J28" s="192"/>
      <c r="K28" s="172" t="s">
        <v>2</v>
      </c>
      <c r="L28" s="193"/>
      <c r="M28" s="192"/>
      <c r="N28" s="163" t="s">
        <v>68</v>
      </c>
      <c r="O28" s="163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9"/>
    </row>
    <row r="29" spans="1:40" ht="16" customHeight="1" x14ac:dyDescent="0.2">
      <c r="A29" s="170"/>
      <c r="B29" s="163"/>
      <c r="C29" s="163"/>
      <c r="D29" s="163"/>
      <c r="E29" s="65" t="s">
        <v>49</v>
      </c>
      <c r="F29" s="192"/>
      <c r="G29" s="192"/>
      <c r="H29" s="65" t="s">
        <v>15</v>
      </c>
      <c r="I29" s="192"/>
      <c r="J29" s="192"/>
      <c r="K29" s="172" t="s">
        <v>2</v>
      </c>
      <c r="L29" s="192"/>
      <c r="M29" s="192"/>
      <c r="N29" s="163" t="s">
        <v>68</v>
      </c>
      <c r="O29" s="163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9"/>
    </row>
    <row r="30" spans="1:40" ht="16" customHeight="1" thickBot="1" x14ac:dyDescent="0.25">
      <c r="A30" s="173"/>
      <c r="B30" s="174"/>
      <c r="C30" s="174"/>
      <c r="D30" s="174"/>
      <c r="E30" s="29" t="s">
        <v>50</v>
      </c>
      <c r="F30" s="190"/>
      <c r="G30" s="190"/>
      <c r="H30" s="29" t="s">
        <v>15</v>
      </c>
      <c r="I30" s="190"/>
      <c r="J30" s="190"/>
      <c r="K30" s="175" t="s">
        <v>2</v>
      </c>
      <c r="L30" s="190"/>
      <c r="M30" s="190"/>
      <c r="N30" s="174" t="s">
        <v>68</v>
      </c>
      <c r="O30" s="174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7"/>
    </row>
    <row r="31" spans="1:40" ht="16" customHeight="1" x14ac:dyDescent="0.2">
      <c r="A31" s="66" t="s">
        <v>56</v>
      </c>
      <c r="B31" s="66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</row>
    <row r="32" spans="1:40" ht="16" customHeight="1" x14ac:dyDescent="0.2">
      <c r="A32" s="66" t="s">
        <v>95</v>
      </c>
      <c r="B32" s="66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</row>
    <row r="33" spans="1:39" ht="16" customHeight="1" x14ac:dyDescent="0.2">
      <c r="A33" s="66" t="s">
        <v>96</v>
      </c>
      <c r="B33" s="66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</row>
    <row r="34" spans="1:39" ht="16" customHeight="1" x14ac:dyDescent="0.2">
      <c r="A34" s="66" t="s">
        <v>57</v>
      </c>
      <c r="B34" s="66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</row>
    <row r="35" spans="1:39" ht="16" customHeight="1" x14ac:dyDescent="0.2">
      <c r="A35" s="66" t="s">
        <v>58</v>
      </c>
      <c r="B35" s="66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</row>
    <row r="36" spans="1:39" ht="16" customHeight="1" x14ac:dyDescent="0.2">
      <c r="A36" s="66" t="s">
        <v>59</v>
      </c>
      <c r="B36" s="66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</row>
    <row r="37" spans="1:39" ht="16" customHeight="1" x14ac:dyDescent="0.2">
      <c r="A37" s="66" t="s">
        <v>65</v>
      </c>
      <c r="B37" s="66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</row>
    <row r="38" spans="1:39" ht="16" customHeight="1" x14ac:dyDescent="0.2">
      <c r="A38" s="66" t="s">
        <v>60</v>
      </c>
      <c r="B38" s="66"/>
      <c r="C38" s="47"/>
      <c r="D38" s="47"/>
      <c r="E38" s="134"/>
      <c r="F38" s="134"/>
      <c r="G38" s="194" t="s">
        <v>61</v>
      </c>
      <c r="H38" s="195"/>
      <c r="I38" s="195"/>
      <c r="J38" s="195"/>
      <c r="K38" s="195"/>
      <c r="L38" s="195"/>
      <c r="M38" s="195" t="s">
        <v>51</v>
      </c>
      <c r="N38" s="195"/>
      <c r="O38" s="198" t="s">
        <v>63</v>
      </c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  <c r="AA38" s="198"/>
      <c r="AB38" s="198"/>
      <c r="AC38" s="198"/>
      <c r="AD38" s="198"/>
      <c r="AE38" s="199" t="s">
        <v>64</v>
      </c>
      <c r="AF38" s="199"/>
      <c r="AG38" s="199"/>
      <c r="AH38" s="199"/>
      <c r="AI38" s="199"/>
      <c r="AJ38" s="199"/>
      <c r="AK38" s="200"/>
      <c r="AL38" s="47"/>
      <c r="AM38" s="47"/>
    </row>
    <row r="39" spans="1:39" ht="16" customHeight="1" x14ac:dyDescent="0.2">
      <c r="A39" s="66" t="s">
        <v>70</v>
      </c>
      <c r="B39" s="66"/>
      <c r="C39" s="47"/>
      <c r="D39" s="47"/>
      <c r="E39" s="134"/>
      <c r="F39" s="134"/>
      <c r="G39" s="196"/>
      <c r="H39" s="197"/>
      <c r="I39" s="197"/>
      <c r="J39" s="197"/>
      <c r="K39" s="197"/>
      <c r="L39" s="197"/>
      <c r="M39" s="197"/>
      <c r="N39" s="197"/>
      <c r="O39" s="197" t="s">
        <v>62</v>
      </c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201"/>
      <c r="AF39" s="201"/>
      <c r="AG39" s="201"/>
      <c r="AH39" s="201"/>
      <c r="AI39" s="201"/>
      <c r="AJ39" s="201"/>
      <c r="AK39" s="202"/>
      <c r="AL39" s="47"/>
      <c r="AM39" s="47"/>
    </row>
    <row r="40" spans="1:39" x14ac:dyDescent="0.2">
      <c r="AE40" s="67"/>
      <c r="AF40" s="67"/>
      <c r="AG40" s="67"/>
      <c r="AH40" s="67"/>
      <c r="AI40" s="67"/>
      <c r="AJ40" s="67"/>
      <c r="AK40" s="67"/>
    </row>
    <row r="41" spans="1:39" x14ac:dyDescent="0.2">
      <c r="AD41" s="68"/>
      <c r="AE41" s="68"/>
      <c r="AF41" s="68"/>
      <c r="AG41" s="68"/>
      <c r="AH41" s="68"/>
      <c r="AI41" s="68"/>
      <c r="AJ41" s="68"/>
      <c r="AK41" s="68"/>
    </row>
  </sheetData>
  <mergeCells count="32">
    <mergeCell ref="G38:L39"/>
    <mergeCell ref="M38:N39"/>
    <mergeCell ref="O38:AD38"/>
    <mergeCell ref="AE38:AK39"/>
    <mergeCell ref="O39:AD39"/>
    <mergeCell ref="F29:G29"/>
    <mergeCell ref="I29:J29"/>
    <mergeCell ref="L29:M29"/>
    <mergeCell ref="F30:G30"/>
    <mergeCell ref="I30:J30"/>
    <mergeCell ref="L30:M30"/>
    <mergeCell ref="X26:Y26"/>
    <mergeCell ref="F27:G27"/>
    <mergeCell ref="I27:J27"/>
    <mergeCell ref="L27:M27"/>
    <mergeCell ref="F28:G28"/>
    <mergeCell ref="I28:J28"/>
    <mergeCell ref="L28:M28"/>
    <mergeCell ref="C6:D6"/>
    <mergeCell ref="H6:M6"/>
    <mergeCell ref="N6:T6"/>
    <mergeCell ref="C7:G7"/>
    <mergeCell ref="H7:M7"/>
    <mergeCell ref="C8:C10"/>
    <mergeCell ref="H1:J1"/>
    <mergeCell ref="L1:M1"/>
    <mergeCell ref="V1:AK1"/>
    <mergeCell ref="V2:AK2"/>
    <mergeCell ref="V3:W3"/>
    <mergeCell ref="Y3:Z3"/>
    <mergeCell ref="AB3:AC3"/>
    <mergeCell ref="AE3:AF3"/>
  </mergeCells>
  <phoneticPr fontId="2"/>
  <printOptions horizontalCentered="1" verticalCentered="1"/>
  <pageMargins left="0.39370078740157483" right="0.39370078740157483" top="0.59055118110236227" bottom="0.39370078740157483" header="0.39370078740157483" footer="0.39370078740157483"/>
  <pageSetup paperSize="9" scale="76" orientation="landscape" r:id="rId1"/>
  <headerFooter alignWithMargins="0">
    <oddHeader>&amp;L（岡山市　Ｒ２．７版）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Check Box 1">
              <controlPr defaultSize="0" autoFill="0" autoLine="0" autoPict="0">
                <anchor moveWithCells="1">
                  <from>
                    <xdr:col>2</xdr:col>
                    <xdr:colOff>44450</xdr:colOff>
                    <xdr:row>5</xdr:row>
                    <xdr:rowOff>6350</xdr:rowOff>
                  </from>
                  <to>
                    <xdr:col>3</xdr:col>
                    <xdr:colOff>254000</xdr:colOff>
                    <xdr:row>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Check Box 2">
              <controlPr defaultSize="0" autoFill="0" autoLine="0" autoPict="0">
                <anchor moveWithCells="1">
                  <from>
                    <xdr:col>2</xdr:col>
                    <xdr:colOff>44450</xdr:colOff>
                    <xdr:row>6</xdr:row>
                    <xdr:rowOff>12700</xdr:rowOff>
                  </from>
                  <to>
                    <xdr:col>3</xdr:col>
                    <xdr:colOff>254000</xdr:colOff>
                    <xdr:row>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Check Box 3">
              <controlPr defaultSize="0" autoFill="0" autoLine="0" autoPict="0">
                <anchor moveWithCells="1">
                  <from>
                    <xdr:col>7</xdr:col>
                    <xdr:colOff>44450</xdr:colOff>
                    <xdr:row>5</xdr:row>
                    <xdr:rowOff>6350</xdr:rowOff>
                  </from>
                  <to>
                    <xdr:col>10</xdr:col>
                    <xdr:colOff>0</xdr:colOff>
                    <xdr:row>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7" name="Check Box 4">
              <controlPr defaultSize="0" autoFill="0" autoLine="0" autoPict="0">
                <anchor moveWithCells="1">
                  <from>
                    <xdr:col>7</xdr:col>
                    <xdr:colOff>44450</xdr:colOff>
                    <xdr:row>6</xdr:row>
                    <xdr:rowOff>6350</xdr:rowOff>
                  </from>
                  <to>
                    <xdr:col>10</xdr:col>
                    <xdr:colOff>6350</xdr:colOff>
                    <xdr:row>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3" r:id="rId8" name="Check Box 5">
              <controlPr defaultSize="0" autoFill="0" autoLine="0" autoPict="0">
                <anchor moveWithCells="1">
                  <from>
                    <xdr:col>13</xdr:col>
                    <xdr:colOff>44450</xdr:colOff>
                    <xdr:row>5</xdr:row>
                    <xdr:rowOff>12700</xdr:rowOff>
                  </from>
                  <to>
                    <xdr:col>16</xdr:col>
                    <xdr:colOff>0</xdr:colOff>
                    <xdr:row>5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勤務形態一覧表（訪問看護） 2026.01実績(サンプル)</vt:lpstr>
      <vt:lpstr>'勤務形態一覧表（訪問看護） 2026.01実績(サンプル)'!Print_Area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kaku suemoto</dc:creator>
  <cp:lastModifiedBy>仁美 福田</cp:lastModifiedBy>
  <cp:lastPrinted>2020-07-09T00:50:03Z</cp:lastPrinted>
  <dcterms:created xsi:type="dcterms:W3CDTF">2012-07-15T03:06:58Z</dcterms:created>
  <dcterms:modified xsi:type="dcterms:W3CDTF">2026-08-27T03:08:44Z</dcterms:modified>
</cp:coreProperties>
</file>